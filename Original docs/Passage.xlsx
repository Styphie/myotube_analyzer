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,8,9,10" sheetId="1" r:id="rId4"/>
    <sheet state="visible" name="11,12,13,14" sheetId="2" r:id="rId5"/>
    <sheet state="visible" name="15,16,17,18" sheetId="3" r:id="rId6"/>
    <sheet state="visible" name="19,20" sheetId="4" r:id="rId7"/>
  </sheets>
  <definedNames/>
  <calcPr/>
</workbook>
</file>

<file path=xl/sharedStrings.xml><?xml version="1.0" encoding="utf-8"?>
<sst xmlns="http://schemas.openxmlformats.org/spreadsheetml/2006/main" count="68" uniqueCount="16">
  <si>
    <t>Passage #</t>
  </si>
  <si>
    <t>Well #</t>
  </si>
  <si>
    <t># of Nuclei</t>
  </si>
  <si>
    <t>Clumping*</t>
  </si>
  <si>
    <t>Average Nuclei</t>
  </si>
  <si>
    <t xml:space="preserve"># of MyHC Positive Nuclei </t>
  </si>
  <si>
    <t>% of MyHC Positive Nucei</t>
  </si>
  <si>
    <t># of Nucei that have Fused (MyHC positive-2 or more)</t>
  </si>
  <si>
    <t># of Myotubes</t>
  </si>
  <si>
    <t>Average # of Nuclei per Myotube</t>
  </si>
  <si>
    <t xml:space="preserve">Fusion Index (%) </t>
  </si>
  <si>
    <t>*</t>
  </si>
  <si>
    <t>Clumping</t>
  </si>
  <si>
    <t>Significant Clumping</t>
  </si>
  <si>
    <t>**</t>
  </si>
  <si>
    <t>Removed from nuclei average becasue clumping is too great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</si>
</sst>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rgb="FF1F1F1F"/>
      <name val="&quot;Google Sans&quot;"/>
    </font>
    <font>
      <sz val="9.0"/>
      <color rgb="FF1F1F1F"/>
      <name val="Google Sans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741B47"/>
        <bgColor rgb="FF741B47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Alignment="1" applyFill="1" applyFont="1">
      <alignment readingOrder="0"/>
    </xf>
    <xf borderId="0" fillId="7" fontId="1" numFmtId="0" xfId="0" applyFont="1"/>
    <xf borderId="0" fillId="8" fontId="1" numFmtId="0" xfId="0" applyAlignment="1" applyFill="1" applyFont="1">
      <alignment readingOrder="0"/>
    </xf>
    <xf borderId="0" fillId="8" fontId="1" numFmtId="0" xfId="0" applyFont="1"/>
    <xf borderId="0" fillId="9" fontId="1" numFmtId="0" xfId="0" applyAlignment="1" applyFill="1" applyFont="1">
      <alignment readingOrder="0"/>
    </xf>
    <xf borderId="0" fillId="9" fontId="1" numFmtId="0" xfId="0" applyFont="1"/>
    <xf borderId="0" fillId="10" fontId="1" numFmtId="0" xfId="0" applyAlignment="1" applyFill="1" applyFont="1">
      <alignment readingOrder="0"/>
    </xf>
    <xf borderId="0" fillId="10" fontId="1" numFmtId="0" xfId="0" applyFont="1"/>
    <xf borderId="0" fillId="11" fontId="1" numFmtId="0" xfId="0" applyAlignment="1" applyFill="1" applyFont="1">
      <alignment readingOrder="0"/>
    </xf>
    <xf borderId="0" fillId="11" fontId="1" numFmtId="0" xfId="0" applyFont="1"/>
    <xf borderId="0" fillId="12" fontId="1" numFmtId="0" xfId="0" applyAlignment="1" applyFill="1" applyFont="1">
      <alignment readingOrder="0"/>
    </xf>
    <xf borderId="0" fillId="12" fontId="1" numFmtId="0" xfId="0" applyFont="1"/>
    <xf borderId="0" fillId="13" fontId="1" numFmtId="0" xfId="0" applyAlignment="1" applyFill="1" applyFont="1">
      <alignment readingOrder="0"/>
    </xf>
    <xf borderId="0" fillId="13" fontId="1" numFmtId="0" xfId="0" applyFont="1"/>
    <xf borderId="0" fillId="14" fontId="1" numFmtId="0" xfId="0" applyAlignment="1" applyFill="1" applyFont="1">
      <alignment readingOrder="0"/>
    </xf>
    <xf borderId="0" fillId="14" fontId="1" numFmtId="0" xfId="0" applyFont="1"/>
    <xf borderId="0" fillId="15" fontId="1" numFmtId="0" xfId="0" applyAlignment="1" applyFill="1" applyFont="1">
      <alignment readingOrder="0"/>
    </xf>
    <xf borderId="0" fillId="15" fontId="1" numFmtId="0" xfId="0" applyFont="1"/>
    <xf borderId="0" fillId="16" fontId="1" numFmtId="0" xfId="0" applyAlignment="1" applyFill="1" applyFont="1">
      <alignment readingOrder="0"/>
    </xf>
    <xf borderId="0" fillId="1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>
      <c r="A2" s="5">
        <v>7.0</v>
      </c>
      <c r="B2" s="5">
        <v>1.0</v>
      </c>
      <c r="C2" s="5">
        <v>642.0</v>
      </c>
      <c r="D2" s="5" t="s">
        <v>11</v>
      </c>
      <c r="E2" s="6"/>
      <c r="F2" s="5">
        <v>87.0</v>
      </c>
      <c r="G2" s="6">
        <f t="shared" ref="G2:G15" si="1">(F2/C2)*100</f>
        <v>13.55140187</v>
      </c>
      <c r="H2" s="5">
        <v>72.0</v>
      </c>
      <c r="I2" s="5">
        <v>14.0</v>
      </c>
      <c r="J2" s="6">
        <f t="shared" ref="J2:J15" si="2">H2/I2</f>
        <v>5.142857143</v>
      </c>
      <c r="K2" s="6">
        <f t="shared" ref="K2:K15" si="3">(H2/C2)*100</f>
        <v>11.21495327</v>
      </c>
    </row>
    <row r="3">
      <c r="A3" s="5">
        <v>7.0</v>
      </c>
      <c r="B3" s="5">
        <v>2.0</v>
      </c>
      <c r="C3" s="5">
        <v>851.0</v>
      </c>
      <c r="D3" s="5"/>
      <c r="E3" s="6"/>
      <c r="F3" s="5">
        <v>116.0</v>
      </c>
      <c r="G3" s="6">
        <f t="shared" si="1"/>
        <v>13.63102233</v>
      </c>
      <c r="H3" s="5">
        <v>100.0</v>
      </c>
      <c r="I3" s="5">
        <v>23.0</v>
      </c>
      <c r="J3" s="6">
        <f t="shared" si="2"/>
        <v>4.347826087</v>
      </c>
      <c r="K3" s="6">
        <f t="shared" si="3"/>
        <v>11.75088132</v>
      </c>
    </row>
    <row r="4">
      <c r="A4" s="5">
        <v>7.0</v>
      </c>
      <c r="B4" s="5">
        <v>3.0</v>
      </c>
      <c r="C4" s="5">
        <v>809.0</v>
      </c>
      <c r="D4" s="5" t="s">
        <v>11</v>
      </c>
      <c r="E4" s="6"/>
      <c r="F4" s="5">
        <v>131.0</v>
      </c>
      <c r="G4" s="6">
        <f t="shared" si="1"/>
        <v>16.19283066</v>
      </c>
      <c r="H4" s="5">
        <v>126.0</v>
      </c>
      <c r="I4" s="5">
        <v>21.0</v>
      </c>
      <c r="J4" s="6">
        <f t="shared" si="2"/>
        <v>6</v>
      </c>
      <c r="K4" s="6">
        <f t="shared" si="3"/>
        <v>15.57478368</v>
      </c>
    </row>
    <row r="5">
      <c r="A5" s="7">
        <v>8.0</v>
      </c>
      <c r="B5" s="7">
        <v>1.0</v>
      </c>
      <c r="C5" s="7">
        <v>747.0</v>
      </c>
      <c r="D5" s="7"/>
      <c r="E5" s="8"/>
      <c r="F5" s="7">
        <v>71.0</v>
      </c>
      <c r="G5" s="8">
        <f t="shared" si="1"/>
        <v>9.504685408</v>
      </c>
      <c r="H5" s="7">
        <v>53.0</v>
      </c>
      <c r="I5" s="7">
        <v>14.0</v>
      </c>
      <c r="J5" s="8">
        <f t="shared" si="2"/>
        <v>3.785714286</v>
      </c>
      <c r="K5" s="8">
        <f t="shared" si="3"/>
        <v>7.095046854</v>
      </c>
    </row>
    <row r="6">
      <c r="A6" s="7">
        <v>8.0</v>
      </c>
      <c r="B6" s="7">
        <v>2.0</v>
      </c>
      <c r="C6" s="7">
        <v>336.0</v>
      </c>
      <c r="D6" s="8"/>
      <c r="E6" s="8"/>
      <c r="F6" s="7">
        <v>34.0</v>
      </c>
      <c r="G6" s="8">
        <f t="shared" si="1"/>
        <v>10.11904762</v>
      </c>
      <c r="H6" s="7">
        <v>26.0</v>
      </c>
      <c r="I6" s="7">
        <v>8.0</v>
      </c>
      <c r="J6" s="8">
        <f t="shared" si="2"/>
        <v>3.25</v>
      </c>
      <c r="K6" s="8">
        <f t="shared" si="3"/>
        <v>7.738095238</v>
      </c>
    </row>
    <row r="7">
      <c r="A7" s="7">
        <v>8.0</v>
      </c>
      <c r="B7" s="7">
        <v>3.0</v>
      </c>
      <c r="C7" s="7">
        <v>617.0</v>
      </c>
      <c r="D7" s="7"/>
      <c r="E7" s="8"/>
      <c r="F7" s="7">
        <v>41.0</v>
      </c>
      <c r="G7" s="8">
        <f t="shared" si="1"/>
        <v>6.645056726</v>
      </c>
      <c r="H7" s="7">
        <v>20.0</v>
      </c>
      <c r="I7" s="7">
        <v>5.0</v>
      </c>
      <c r="J7" s="8">
        <f t="shared" si="2"/>
        <v>4</v>
      </c>
      <c r="K7" s="8">
        <f t="shared" si="3"/>
        <v>3.241491086</v>
      </c>
    </row>
    <row r="8">
      <c r="A8" s="7">
        <v>8.0</v>
      </c>
      <c r="B8" s="7">
        <v>4.0</v>
      </c>
      <c r="C8" s="7">
        <v>750.0</v>
      </c>
      <c r="D8" s="7"/>
      <c r="E8" s="8"/>
      <c r="F8" s="7">
        <v>99.0</v>
      </c>
      <c r="G8" s="8">
        <f t="shared" si="1"/>
        <v>13.2</v>
      </c>
      <c r="H8" s="7">
        <v>73.0</v>
      </c>
      <c r="I8" s="7">
        <v>16.0</v>
      </c>
      <c r="J8" s="8">
        <f t="shared" si="2"/>
        <v>4.5625</v>
      </c>
      <c r="K8" s="8">
        <f t="shared" si="3"/>
        <v>9.733333333</v>
      </c>
    </row>
    <row r="9">
      <c r="A9" s="9">
        <v>9.0</v>
      </c>
      <c r="B9" s="9">
        <v>1.0</v>
      </c>
      <c r="C9" s="9">
        <v>794.0</v>
      </c>
      <c r="D9" s="9" t="s">
        <v>11</v>
      </c>
      <c r="E9" s="10"/>
      <c r="F9" s="9">
        <v>302.0</v>
      </c>
      <c r="G9" s="10">
        <f t="shared" si="1"/>
        <v>38.03526448</v>
      </c>
      <c r="H9" s="9">
        <v>362.0</v>
      </c>
      <c r="I9" s="9">
        <v>40.0</v>
      </c>
      <c r="J9" s="10">
        <f t="shared" si="2"/>
        <v>9.05</v>
      </c>
      <c r="K9" s="10">
        <f t="shared" si="3"/>
        <v>45.59193955</v>
      </c>
    </row>
    <row r="10">
      <c r="A10" s="9">
        <v>9.0</v>
      </c>
      <c r="B10" s="9">
        <v>2.0</v>
      </c>
      <c r="C10" s="9">
        <v>596.0</v>
      </c>
      <c r="D10" s="9" t="s">
        <v>11</v>
      </c>
      <c r="E10" s="10"/>
      <c r="F10" s="9">
        <v>175.0</v>
      </c>
      <c r="G10" s="10">
        <f t="shared" si="1"/>
        <v>29.36241611</v>
      </c>
      <c r="H10" s="9">
        <v>149.0</v>
      </c>
      <c r="I10" s="9">
        <v>36.0</v>
      </c>
      <c r="J10" s="10">
        <f t="shared" si="2"/>
        <v>4.138888889</v>
      </c>
      <c r="K10" s="10">
        <f t="shared" si="3"/>
        <v>25</v>
      </c>
    </row>
    <row r="11">
      <c r="A11" s="9">
        <v>9.0</v>
      </c>
      <c r="B11" s="9">
        <v>3.0</v>
      </c>
      <c r="C11" s="9">
        <v>978.0</v>
      </c>
      <c r="D11" s="10"/>
      <c r="E11" s="10"/>
      <c r="F11" s="9">
        <v>440.0</v>
      </c>
      <c r="G11" s="10">
        <f t="shared" si="1"/>
        <v>44.98977505</v>
      </c>
      <c r="H11" s="9">
        <v>429.0</v>
      </c>
      <c r="I11" s="9">
        <v>74.0</v>
      </c>
      <c r="J11" s="10">
        <f t="shared" si="2"/>
        <v>5.797297297</v>
      </c>
      <c r="K11" s="10">
        <f t="shared" si="3"/>
        <v>43.86503067</v>
      </c>
    </row>
    <row r="12">
      <c r="A12" s="11">
        <v>10.0</v>
      </c>
      <c r="B12" s="11">
        <v>1.0</v>
      </c>
      <c r="C12" s="11">
        <v>618.0</v>
      </c>
      <c r="D12" s="11"/>
      <c r="E12" s="12"/>
      <c r="F12" s="11">
        <v>43.0</v>
      </c>
      <c r="G12" s="12">
        <f t="shared" si="1"/>
        <v>6.957928803</v>
      </c>
      <c r="H12" s="11">
        <v>12.0</v>
      </c>
      <c r="I12" s="11">
        <v>4.0</v>
      </c>
      <c r="J12" s="12">
        <f t="shared" si="2"/>
        <v>3</v>
      </c>
      <c r="K12" s="12">
        <f t="shared" si="3"/>
        <v>1.941747573</v>
      </c>
    </row>
    <row r="13">
      <c r="A13" s="11">
        <v>10.0</v>
      </c>
      <c r="B13" s="11">
        <v>2.0</v>
      </c>
      <c r="C13" s="11">
        <v>701.0</v>
      </c>
      <c r="D13" s="11"/>
      <c r="E13" s="12"/>
      <c r="F13" s="11">
        <v>75.0</v>
      </c>
      <c r="G13" s="12">
        <f t="shared" si="1"/>
        <v>10.69900143</v>
      </c>
      <c r="H13" s="11">
        <v>54.0</v>
      </c>
      <c r="I13" s="11">
        <v>17.0</v>
      </c>
      <c r="J13" s="12">
        <f t="shared" si="2"/>
        <v>3.176470588</v>
      </c>
      <c r="K13" s="12">
        <f t="shared" si="3"/>
        <v>7.703281027</v>
      </c>
    </row>
    <row r="14">
      <c r="A14" s="11">
        <v>10.0</v>
      </c>
      <c r="B14" s="11">
        <v>3.0</v>
      </c>
      <c r="C14" s="11">
        <v>745.0</v>
      </c>
      <c r="D14" s="11" t="s">
        <v>11</v>
      </c>
      <c r="E14" s="12"/>
      <c r="F14" s="11">
        <v>68.0</v>
      </c>
      <c r="G14" s="12">
        <f t="shared" si="1"/>
        <v>9.127516779</v>
      </c>
      <c r="H14" s="11">
        <v>36.0</v>
      </c>
      <c r="I14" s="11">
        <v>8.0</v>
      </c>
      <c r="J14" s="12">
        <f t="shared" si="2"/>
        <v>4.5</v>
      </c>
      <c r="K14" s="12">
        <f t="shared" si="3"/>
        <v>4.832214765</v>
      </c>
    </row>
    <row r="15">
      <c r="A15" s="11">
        <v>10.0</v>
      </c>
      <c r="B15" s="11">
        <v>4.0</v>
      </c>
      <c r="C15" s="11">
        <v>380.0</v>
      </c>
      <c r="D15" s="11"/>
      <c r="E15" s="12"/>
      <c r="F15" s="11">
        <v>7.0</v>
      </c>
      <c r="G15" s="12">
        <f t="shared" si="1"/>
        <v>1.842105263</v>
      </c>
      <c r="H15" s="11">
        <v>0.0</v>
      </c>
      <c r="I15" s="11">
        <v>0.0</v>
      </c>
      <c r="J15" s="12" t="str">
        <f t="shared" si="2"/>
        <v>#DIV/0!</v>
      </c>
      <c r="K15" s="12">
        <f t="shared" si="3"/>
        <v>0</v>
      </c>
    </row>
    <row r="16">
      <c r="A16" s="1"/>
      <c r="B16" s="1"/>
      <c r="C16" s="1"/>
      <c r="D16" s="1"/>
      <c r="F16" s="1"/>
      <c r="H16" s="1"/>
      <c r="I16" s="1"/>
    </row>
    <row r="17">
      <c r="A17" s="1" t="s">
        <v>12</v>
      </c>
      <c r="B17" s="1"/>
      <c r="C17" s="1"/>
      <c r="D17" s="1"/>
      <c r="F17" s="1"/>
      <c r="H17" s="1"/>
      <c r="I17" s="1"/>
    </row>
    <row r="18">
      <c r="A18" s="1"/>
      <c r="B18" s="1"/>
      <c r="C18" s="1"/>
      <c r="F18" s="1"/>
      <c r="H18" s="1"/>
      <c r="I18" s="1"/>
    </row>
    <row r="19">
      <c r="A19" s="1" t="s">
        <v>11</v>
      </c>
      <c r="B19" s="1" t="s">
        <v>13</v>
      </c>
      <c r="C19" s="1"/>
      <c r="F19" s="1"/>
      <c r="H19" s="1"/>
      <c r="I19" s="1"/>
    </row>
    <row r="20">
      <c r="A20" s="1" t="s">
        <v>14</v>
      </c>
      <c r="B20" s="1" t="s">
        <v>15</v>
      </c>
      <c r="C20" s="1"/>
      <c r="F20" s="1"/>
      <c r="H20" s="1"/>
      <c r="I20" s="1"/>
    </row>
    <row r="21">
      <c r="A21" s="1"/>
      <c r="B21" s="1"/>
      <c r="C21" s="1"/>
    </row>
    <row r="22">
      <c r="A22" s="1"/>
      <c r="B22" s="1"/>
      <c r="C22" s="1"/>
    </row>
    <row r="23">
      <c r="A23" s="1"/>
      <c r="B23" s="1"/>
      <c r="C2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12</v>
      </c>
      <c r="E1" s="1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>
      <c r="A2" s="13">
        <v>11.0</v>
      </c>
      <c r="B2" s="13">
        <v>2.0</v>
      </c>
      <c r="C2" s="13">
        <v>1023.0</v>
      </c>
      <c r="D2" s="13" t="s">
        <v>11</v>
      </c>
      <c r="E2" s="14">
        <f>(C2+C3+C4+C5)/4</f>
        <v>914.5</v>
      </c>
      <c r="F2" s="13">
        <v>89.0</v>
      </c>
      <c r="G2" s="14">
        <f t="shared" ref="G2:G20" si="1">(F2/C2)*100</f>
        <v>8.699902248</v>
      </c>
      <c r="H2" s="13">
        <v>81.0</v>
      </c>
      <c r="I2" s="13">
        <v>15.0</v>
      </c>
      <c r="J2" s="14">
        <f t="shared" ref="J2:J20" si="2">H2/I2</f>
        <v>5.4</v>
      </c>
      <c r="K2" s="14">
        <f t="shared" ref="K2:K20" si="3">(H2/C2)*100</f>
        <v>7.917888563</v>
      </c>
    </row>
    <row r="3">
      <c r="A3" s="13">
        <v>11.0</v>
      </c>
      <c r="B3" s="13">
        <v>3.0</v>
      </c>
      <c r="C3" s="13">
        <v>1041.0</v>
      </c>
      <c r="D3" s="14"/>
      <c r="E3" s="14"/>
      <c r="F3" s="13">
        <v>178.0</v>
      </c>
      <c r="G3" s="14">
        <f t="shared" si="1"/>
        <v>17.09894332</v>
      </c>
      <c r="H3" s="13">
        <v>134.0</v>
      </c>
      <c r="I3" s="13">
        <v>23.0</v>
      </c>
      <c r="J3" s="14">
        <f t="shared" si="2"/>
        <v>5.826086957</v>
      </c>
      <c r="K3" s="14">
        <f t="shared" si="3"/>
        <v>12.87223823</v>
      </c>
    </row>
    <row r="4">
      <c r="A4" s="13">
        <v>11.0</v>
      </c>
      <c r="B4" s="13">
        <v>4.0</v>
      </c>
      <c r="C4" s="13">
        <v>668.0</v>
      </c>
      <c r="D4" s="14"/>
      <c r="E4" s="14"/>
      <c r="F4" s="13">
        <v>133.0</v>
      </c>
      <c r="G4" s="14">
        <f t="shared" si="1"/>
        <v>19.91017964</v>
      </c>
      <c r="H4" s="13">
        <v>79.0</v>
      </c>
      <c r="I4" s="13">
        <v>20.0</v>
      </c>
      <c r="J4" s="14">
        <f t="shared" si="2"/>
        <v>3.95</v>
      </c>
      <c r="K4" s="14">
        <f t="shared" si="3"/>
        <v>11.82634731</v>
      </c>
    </row>
    <row r="5">
      <c r="A5" s="13">
        <v>11.0</v>
      </c>
      <c r="B5" s="13">
        <v>5.0</v>
      </c>
      <c r="C5" s="13">
        <v>926.0</v>
      </c>
      <c r="D5" s="13" t="s">
        <v>11</v>
      </c>
      <c r="E5" s="14"/>
      <c r="F5" s="13">
        <v>320.0</v>
      </c>
      <c r="G5" s="14">
        <f t="shared" si="1"/>
        <v>34.55723542</v>
      </c>
      <c r="H5" s="13">
        <v>296.0</v>
      </c>
      <c r="I5" s="13">
        <v>45.0</v>
      </c>
      <c r="J5" s="14">
        <f t="shared" si="2"/>
        <v>6.577777778</v>
      </c>
      <c r="K5" s="14">
        <f t="shared" si="3"/>
        <v>31.96544276</v>
      </c>
    </row>
    <row r="6">
      <c r="A6" s="15">
        <v>12.0</v>
      </c>
      <c r="B6" s="15">
        <v>1.0</v>
      </c>
      <c r="C6" s="15">
        <v>676.0</v>
      </c>
      <c r="D6" s="16"/>
      <c r="E6" s="16">
        <f>AVERAGE(C6:C10)</f>
        <v>533</v>
      </c>
      <c r="F6" s="15">
        <v>73.0</v>
      </c>
      <c r="G6" s="16">
        <f t="shared" si="1"/>
        <v>10.79881657</v>
      </c>
      <c r="H6" s="15">
        <v>43.0</v>
      </c>
      <c r="I6" s="15">
        <v>12.0</v>
      </c>
      <c r="J6" s="16">
        <f t="shared" si="2"/>
        <v>3.583333333</v>
      </c>
      <c r="K6" s="16">
        <f t="shared" si="3"/>
        <v>6.360946746</v>
      </c>
    </row>
    <row r="7">
      <c r="A7" s="15">
        <v>12.0</v>
      </c>
      <c r="B7" s="15">
        <v>2.0</v>
      </c>
      <c r="C7" s="15">
        <v>521.0</v>
      </c>
      <c r="D7" s="16"/>
      <c r="E7" s="16"/>
      <c r="F7" s="15">
        <v>162.0</v>
      </c>
      <c r="G7" s="16">
        <f t="shared" si="1"/>
        <v>31.0940499</v>
      </c>
      <c r="H7" s="15">
        <v>137.0</v>
      </c>
      <c r="I7" s="15">
        <v>17.0</v>
      </c>
      <c r="J7" s="16">
        <f t="shared" si="2"/>
        <v>8.058823529</v>
      </c>
      <c r="K7" s="16">
        <f t="shared" si="3"/>
        <v>26.29558541</v>
      </c>
    </row>
    <row r="8">
      <c r="A8" s="15">
        <v>12.0</v>
      </c>
      <c r="B8" s="15">
        <v>3.0</v>
      </c>
      <c r="C8" s="15">
        <v>597.0</v>
      </c>
      <c r="D8" s="15" t="s">
        <v>11</v>
      </c>
      <c r="E8" s="16"/>
      <c r="F8" s="15">
        <v>172.0</v>
      </c>
      <c r="G8" s="16">
        <f t="shared" si="1"/>
        <v>28.81072027</v>
      </c>
      <c r="H8" s="15">
        <v>137.0</v>
      </c>
      <c r="I8" s="15">
        <v>24.0</v>
      </c>
      <c r="J8" s="16">
        <f t="shared" si="2"/>
        <v>5.708333333</v>
      </c>
      <c r="K8" s="16">
        <f t="shared" si="3"/>
        <v>22.9480737</v>
      </c>
    </row>
    <row r="9">
      <c r="A9" s="15">
        <v>12.0</v>
      </c>
      <c r="B9" s="15">
        <v>4.0</v>
      </c>
      <c r="C9" s="15">
        <v>308.0</v>
      </c>
      <c r="D9" s="16"/>
      <c r="E9" s="16"/>
      <c r="F9" s="15">
        <v>37.0</v>
      </c>
      <c r="G9" s="16">
        <f t="shared" si="1"/>
        <v>12.01298701</v>
      </c>
      <c r="H9" s="15">
        <v>6.0</v>
      </c>
      <c r="I9" s="15">
        <v>2.0</v>
      </c>
      <c r="J9" s="16">
        <f t="shared" si="2"/>
        <v>3</v>
      </c>
      <c r="K9" s="16">
        <f t="shared" si="3"/>
        <v>1.948051948</v>
      </c>
    </row>
    <row r="10">
      <c r="A10" s="15">
        <v>12.0</v>
      </c>
      <c r="B10" s="15">
        <v>5.0</v>
      </c>
      <c r="C10" s="15">
        <v>563.0</v>
      </c>
      <c r="D10" s="15" t="s">
        <v>11</v>
      </c>
      <c r="E10" s="16"/>
      <c r="F10" s="15">
        <v>148.0</v>
      </c>
      <c r="G10" s="16">
        <f t="shared" si="1"/>
        <v>26.28774423</v>
      </c>
      <c r="H10" s="15">
        <v>114.0</v>
      </c>
      <c r="I10" s="15">
        <v>24.0</v>
      </c>
      <c r="J10" s="16">
        <f t="shared" si="2"/>
        <v>4.75</v>
      </c>
      <c r="K10" s="16">
        <f t="shared" si="3"/>
        <v>20.24866785</v>
      </c>
    </row>
    <row r="11">
      <c r="A11" s="17">
        <v>13.0</v>
      </c>
      <c r="B11" s="17">
        <v>1.0</v>
      </c>
      <c r="C11" s="17">
        <v>458.0</v>
      </c>
      <c r="D11" s="18"/>
      <c r="E11" s="18">
        <f>AVERAGE(C11:C15)</f>
        <v>505</v>
      </c>
      <c r="F11" s="17">
        <v>79.0</v>
      </c>
      <c r="G11" s="18">
        <f t="shared" si="1"/>
        <v>17.2489083</v>
      </c>
      <c r="H11" s="17">
        <v>53.0</v>
      </c>
      <c r="I11" s="17">
        <v>12.0</v>
      </c>
      <c r="J11" s="18">
        <f t="shared" si="2"/>
        <v>4.416666667</v>
      </c>
      <c r="K11" s="18">
        <f t="shared" si="3"/>
        <v>11.5720524</v>
      </c>
    </row>
    <row r="12">
      <c r="A12" s="17">
        <v>13.0</v>
      </c>
      <c r="B12" s="17">
        <v>2.0</v>
      </c>
      <c r="C12" s="17">
        <v>391.0</v>
      </c>
      <c r="D12" s="18"/>
      <c r="E12" s="18"/>
      <c r="F12" s="17">
        <v>43.0</v>
      </c>
      <c r="G12" s="18">
        <f t="shared" si="1"/>
        <v>10.99744246</v>
      </c>
      <c r="H12" s="17">
        <v>28.0</v>
      </c>
      <c r="I12" s="17">
        <v>6.0</v>
      </c>
      <c r="J12" s="18">
        <f t="shared" si="2"/>
        <v>4.666666667</v>
      </c>
      <c r="K12" s="18">
        <f t="shared" si="3"/>
        <v>7.16112532</v>
      </c>
    </row>
    <row r="13">
      <c r="A13" s="17">
        <v>13.0</v>
      </c>
      <c r="B13" s="17">
        <v>3.0</v>
      </c>
      <c r="C13" s="17">
        <v>453.0</v>
      </c>
      <c r="D13" s="17" t="s">
        <v>11</v>
      </c>
      <c r="E13" s="18"/>
      <c r="F13" s="17">
        <v>60.0</v>
      </c>
      <c r="G13" s="18">
        <f t="shared" si="1"/>
        <v>13.24503311</v>
      </c>
      <c r="H13" s="17">
        <v>21.0</v>
      </c>
      <c r="I13" s="17">
        <v>6.0</v>
      </c>
      <c r="J13" s="18">
        <f t="shared" si="2"/>
        <v>3.5</v>
      </c>
      <c r="K13" s="18">
        <f t="shared" si="3"/>
        <v>4.635761589</v>
      </c>
    </row>
    <row r="14">
      <c r="A14" s="17">
        <v>13.0</v>
      </c>
      <c r="B14" s="17">
        <v>4.0</v>
      </c>
      <c r="C14" s="17">
        <v>755.0</v>
      </c>
      <c r="D14" s="18"/>
      <c r="E14" s="18"/>
      <c r="F14" s="17">
        <v>15.0</v>
      </c>
      <c r="G14" s="18">
        <f t="shared" si="1"/>
        <v>1.986754967</v>
      </c>
      <c r="H14" s="17">
        <v>5.0</v>
      </c>
      <c r="I14" s="17">
        <v>2.0</v>
      </c>
      <c r="J14" s="18">
        <f t="shared" si="2"/>
        <v>2.5</v>
      </c>
      <c r="K14" s="18">
        <f t="shared" si="3"/>
        <v>0.6622516556</v>
      </c>
    </row>
    <row r="15">
      <c r="A15" s="17">
        <v>13.0</v>
      </c>
      <c r="B15" s="17">
        <v>5.0</v>
      </c>
      <c r="C15" s="17">
        <v>468.0</v>
      </c>
      <c r="D15" s="18"/>
      <c r="E15" s="18"/>
      <c r="F15" s="17">
        <v>53.0</v>
      </c>
      <c r="G15" s="18">
        <f t="shared" si="1"/>
        <v>11.32478632</v>
      </c>
      <c r="H15" s="17">
        <v>24.0</v>
      </c>
      <c r="I15" s="17">
        <v>7.0</v>
      </c>
      <c r="J15" s="18">
        <f t="shared" si="2"/>
        <v>3.428571429</v>
      </c>
      <c r="K15" s="18">
        <f t="shared" si="3"/>
        <v>5.128205128</v>
      </c>
    </row>
    <row r="16">
      <c r="A16" s="19">
        <v>14.0</v>
      </c>
      <c r="B16" s="19">
        <v>1.0</v>
      </c>
      <c r="C16" s="19">
        <v>937.0</v>
      </c>
      <c r="D16" s="20"/>
      <c r="E16" s="20">
        <f>AVERAGE(C16,C17,C18,C20)</f>
        <v>763</v>
      </c>
      <c r="F16" s="19">
        <v>33.0</v>
      </c>
      <c r="G16" s="20">
        <f t="shared" si="1"/>
        <v>3.521878335</v>
      </c>
      <c r="H16" s="19">
        <v>6.0</v>
      </c>
      <c r="I16" s="19">
        <v>3.0</v>
      </c>
      <c r="J16" s="20">
        <f t="shared" si="2"/>
        <v>2</v>
      </c>
      <c r="K16" s="20">
        <f t="shared" si="3"/>
        <v>0.6403415155</v>
      </c>
    </row>
    <row r="17">
      <c r="A17" s="19">
        <v>14.0</v>
      </c>
      <c r="B17" s="19">
        <v>2.0</v>
      </c>
      <c r="C17" s="19">
        <v>806.0</v>
      </c>
      <c r="D17" s="20"/>
      <c r="E17" s="20"/>
      <c r="F17" s="19">
        <v>23.0</v>
      </c>
      <c r="G17" s="20">
        <f t="shared" si="1"/>
        <v>2.853598015</v>
      </c>
      <c r="H17" s="19">
        <v>10.0</v>
      </c>
      <c r="I17" s="19">
        <v>4.0</v>
      </c>
      <c r="J17" s="20">
        <f t="shared" si="2"/>
        <v>2.5</v>
      </c>
      <c r="K17" s="20">
        <f t="shared" si="3"/>
        <v>1.240694789</v>
      </c>
    </row>
    <row r="18">
      <c r="A18" s="19">
        <v>14.0</v>
      </c>
      <c r="B18" s="19">
        <v>3.0</v>
      </c>
      <c r="C18" s="19">
        <v>692.0</v>
      </c>
      <c r="D18" s="20"/>
      <c r="E18" s="20"/>
      <c r="F18" s="19">
        <v>71.0</v>
      </c>
      <c r="G18" s="20">
        <f t="shared" si="1"/>
        <v>10.26011561</v>
      </c>
      <c r="H18" s="19">
        <v>43.0</v>
      </c>
      <c r="I18" s="19">
        <v>10.0</v>
      </c>
      <c r="J18" s="20">
        <f t="shared" si="2"/>
        <v>4.3</v>
      </c>
      <c r="K18" s="20">
        <f t="shared" si="3"/>
        <v>6.213872832</v>
      </c>
    </row>
    <row r="19">
      <c r="A19" s="19">
        <v>14.0</v>
      </c>
      <c r="B19" s="19">
        <v>4.0</v>
      </c>
      <c r="C19" s="19">
        <v>722.0</v>
      </c>
      <c r="D19" s="19" t="s">
        <v>14</v>
      </c>
      <c r="E19" s="20"/>
      <c r="F19" s="19">
        <v>308.0</v>
      </c>
      <c r="G19" s="20">
        <f t="shared" si="1"/>
        <v>42.65927978</v>
      </c>
      <c r="H19" s="19">
        <v>273.0</v>
      </c>
      <c r="I19" s="19">
        <v>37.0</v>
      </c>
      <c r="J19" s="20">
        <f t="shared" si="2"/>
        <v>7.378378378</v>
      </c>
      <c r="K19" s="20">
        <f t="shared" si="3"/>
        <v>37.81163435</v>
      </c>
    </row>
    <row r="20">
      <c r="A20" s="19">
        <v>14.0</v>
      </c>
      <c r="B20" s="19">
        <v>5.0</v>
      </c>
      <c r="C20" s="19">
        <v>617.0</v>
      </c>
      <c r="D20" s="20"/>
      <c r="E20" s="20"/>
      <c r="F20" s="19">
        <v>138.0</v>
      </c>
      <c r="G20" s="20">
        <f t="shared" si="1"/>
        <v>22.36628849</v>
      </c>
      <c r="H20" s="19">
        <v>90.0</v>
      </c>
      <c r="I20" s="19">
        <v>21.0</v>
      </c>
      <c r="J20" s="20">
        <f t="shared" si="2"/>
        <v>4.285714286</v>
      </c>
      <c r="K20" s="20">
        <f t="shared" si="3"/>
        <v>14.58670989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12</v>
      </c>
      <c r="E1" s="1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>
      <c r="A2" s="21">
        <v>15.0</v>
      </c>
      <c r="B2" s="21">
        <v>1.0</v>
      </c>
      <c r="C2" s="21">
        <v>1377.0</v>
      </c>
      <c r="D2" s="21"/>
      <c r="E2" s="22">
        <f>AVERAGE(C2:C6)</f>
        <v>1241.6</v>
      </c>
      <c r="F2" s="21"/>
      <c r="G2" s="22">
        <f t="shared" ref="G2:G18" si="1">(F2/C2)*100</f>
        <v>0</v>
      </c>
      <c r="H2" s="21"/>
      <c r="I2" s="21"/>
      <c r="J2" s="22" t="str">
        <f t="shared" ref="J2:J18" si="2">H2/I2</f>
        <v>#DIV/0!</v>
      </c>
      <c r="K2" s="22">
        <f t="shared" ref="K2:K18" si="3">(H2/C2)*100</f>
        <v>0</v>
      </c>
    </row>
    <row r="3">
      <c r="A3" s="21">
        <v>15.0</v>
      </c>
      <c r="B3" s="21">
        <v>2.0</v>
      </c>
      <c r="C3" s="21">
        <v>1037.0</v>
      </c>
      <c r="D3" s="22"/>
      <c r="E3" s="22"/>
      <c r="F3" s="21">
        <v>156.0</v>
      </c>
      <c r="G3" s="22">
        <f t="shared" si="1"/>
        <v>15.04339441</v>
      </c>
      <c r="H3" s="21">
        <v>104.0</v>
      </c>
      <c r="I3" s="21">
        <v>20.0</v>
      </c>
      <c r="J3" s="22">
        <f t="shared" si="2"/>
        <v>5.2</v>
      </c>
      <c r="K3" s="22">
        <f t="shared" si="3"/>
        <v>10.0289296</v>
      </c>
    </row>
    <row r="4">
      <c r="A4" s="21">
        <v>15.0</v>
      </c>
      <c r="B4" s="21">
        <v>3.0</v>
      </c>
      <c r="C4" s="21">
        <v>1569.0</v>
      </c>
      <c r="D4" s="21" t="s">
        <v>11</v>
      </c>
      <c r="E4" s="22"/>
      <c r="F4" s="21">
        <v>104.0</v>
      </c>
      <c r="G4" s="22">
        <f t="shared" si="1"/>
        <v>6.628425749</v>
      </c>
      <c r="H4" s="21">
        <v>90.0</v>
      </c>
      <c r="I4" s="21">
        <v>17.0</v>
      </c>
      <c r="J4" s="22">
        <f t="shared" si="2"/>
        <v>5.294117647</v>
      </c>
      <c r="K4" s="22">
        <f t="shared" si="3"/>
        <v>5.736137667</v>
      </c>
    </row>
    <row r="5">
      <c r="A5" s="21">
        <v>15.0</v>
      </c>
      <c r="B5" s="21">
        <v>4.0</v>
      </c>
      <c r="C5" s="21">
        <v>1019.0</v>
      </c>
      <c r="D5" s="21"/>
      <c r="E5" s="22"/>
      <c r="F5" s="21">
        <v>395.0</v>
      </c>
      <c r="G5" s="22">
        <f t="shared" si="1"/>
        <v>38.76349362</v>
      </c>
      <c r="H5" s="21">
        <v>353.0</v>
      </c>
      <c r="I5" s="21">
        <v>53.0</v>
      </c>
      <c r="J5" s="22">
        <f t="shared" si="2"/>
        <v>6.660377358</v>
      </c>
      <c r="K5" s="22">
        <f t="shared" si="3"/>
        <v>34.64180569</v>
      </c>
    </row>
    <row r="6">
      <c r="A6" s="21">
        <v>15.0</v>
      </c>
      <c r="B6" s="21">
        <v>5.0</v>
      </c>
      <c r="C6" s="21">
        <v>1206.0</v>
      </c>
      <c r="D6" s="21" t="s">
        <v>11</v>
      </c>
      <c r="E6" s="22"/>
      <c r="F6" s="21">
        <v>276.0</v>
      </c>
      <c r="G6" s="22">
        <f t="shared" si="1"/>
        <v>22.88557214</v>
      </c>
      <c r="H6" s="21">
        <v>219.0</v>
      </c>
      <c r="I6" s="21">
        <v>30.0</v>
      </c>
      <c r="J6" s="22">
        <f t="shared" si="2"/>
        <v>7.3</v>
      </c>
      <c r="K6" s="22">
        <f t="shared" si="3"/>
        <v>18.15920398</v>
      </c>
    </row>
    <row r="7">
      <c r="A7" s="23">
        <v>16.0</v>
      </c>
      <c r="B7" s="23">
        <v>1.0</v>
      </c>
      <c r="C7" s="23">
        <v>1378.0</v>
      </c>
      <c r="D7" s="23"/>
      <c r="E7" s="24">
        <f>AVERAGE(C7:C10)</f>
        <v>1189.25</v>
      </c>
      <c r="F7" s="23">
        <v>248.0</v>
      </c>
      <c r="G7" s="24">
        <f t="shared" si="1"/>
        <v>17.99709724</v>
      </c>
      <c r="H7" s="23">
        <v>198.0</v>
      </c>
      <c r="I7" s="23">
        <v>30.0</v>
      </c>
      <c r="J7" s="24">
        <f t="shared" si="2"/>
        <v>6.6</v>
      </c>
      <c r="K7" s="24">
        <f t="shared" si="3"/>
        <v>14.36865022</v>
      </c>
    </row>
    <row r="8">
      <c r="A8" s="23">
        <v>16.0</v>
      </c>
      <c r="B8" s="23">
        <v>2.0</v>
      </c>
      <c r="C8" s="23">
        <v>1178.0</v>
      </c>
      <c r="D8" s="23" t="s">
        <v>11</v>
      </c>
      <c r="E8" s="24"/>
      <c r="F8" s="23">
        <v>244.0</v>
      </c>
      <c r="G8" s="24">
        <f t="shared" si="1"/>
        <v>20.71307301</v>
      </c>
      <c r="H8" s="23">
        <v>213.0</v>
      </c>
      <c r="I8" s="23">
        <v>28.0</v>
      </c>
      <c r="J8" s="24">
        <f t="shared" si="2"/>
        <v>7.607142857</v>
      </c>
      <c r="K8" s="24">
        <f t="shared" si="3"/>
        <v>18.08149406</v>
      </c>
    </row>
    <row r="9">
      <c r="A9" s="23">
        <v>16.0</v>
      </c>
      <c r="B9" s="23">
        <v>3.0</v>
      </c>
      <c r="C9" s="23">
        <v>1366.0</v>
      </c>
      <c r="D9" s="23" t="s">
        <v>11</v>
      </c>
      <c r="E9" s="24"/>
      <c r="F9" s="23">
        <v>304.0</v>
      </c>
      <c r="G9" s="24">
        <f t="shared" si="1"/>
        <v>22.25475842</v>
      </c>
      <c r="H9" s="23">
        <v>278.0</v>
      </c>
      <c r="I9" s="23">
        <v>38.0</v>
      </c>
      <c r="J9" s="24">
        <f t="shared" si="2"/>
        <v>7.315789474</v>
      </c>
      <c r="K9" s="24">
        <f t="shared" si="3"/>
        <v>20.35139092</v>
      </c>
    </row>
    <row r="10">
      <c r="A10" s="23">
        <v>16.0</v>
      </c>
      <c r="B10" s="23">
        <v>4.0</v>
      </c>
      <c r="C10" s="23">
        <v>835.0</v>
      </c>
      <c r="D10" s="23"/>
      <c r="E10" s="24"/>
      <c r="F10" s="23">
        <v>49.0</v>
      </c>
      <c r="G10" s="24">
        <f t="shared" si="1"/>
        <v>5.868263473</v>
      </c>
      <c r="H10" s="23">
        <v>36.0</v>
      </c>
      <c r="I10" s="23">
        <v>11.0</v>
      </c>
      <c r="J10" s="24">
        <f t="shared" si="2"/>
        <v>3.272727273</v>
      </c>
      <c r="K10" s="24">
        <f t="shared" si="3"/>
        <v>4.311377246</v>
      </c>
    </row>
    <row r="11">
      <c r="A11" s="25">
        <v>17.0</v>
      </c>
      <c r="B11" s="25">
        <v>1.0</v>
      </c>
      <c r="C11" s="25">
        <v>763.0</v>
      </c>
      <c r="D11" s="26"/>
      <c r="E11" s="26">
        <f>(C11+C13)/2</f>
        <v>1050</v>
      </c>
      <c r="F11" s="25">
        <v>170.0</v>
      </c>
      <c r="G11" s="26">
        <f t="shared" si="1"/>
        <v>22.28047182</v>
      </c>
      <c r="H11" s="25">
        <v>136.0</v>
      </c>
      <c r="I11" s="25">
        <v>16.0</v>
      </c>
      <c r="J11" s="26">
        <f t="shared" si="2"/>
        <v>8.5</v>
      </c>
      <c r="K11" s="26">
        <f t="shared" si="3"/>
        <v>17.82437746</v>
      </c>
    </row>
    <row r="12">
      <c r="A12" s="25">
        <v>17.0</v>
      </c>
      <c r="B12" s="25">
        <v>2.0</v>
      </c>
      <c r="C12" s="25">
        <v>1177.0</v>
      </c>
      <c r="D12" s="25" t="s">
        <v>14</v>
      </c>
      <c r="E12" s="26"/>
      <c r="F12" s="25">
        <v>138.0</v>
      </c>
      <c r="G12" s="26">
        <f t="shared" si="1"/>
        <v>11.72472387</v>
      </c>
      <c r="H12" s="25">
        <v>99.0</v>
      </c>
      <c r="I12" s="25">
        <v>15.0</v>
      </c>
      <c r="J12" s="26">
        <f t="shared" si="2"/>
        <v>6.6</v>
      </c>
      <c r="K12" s="26">
        <f t="shared" si="3"/>
        <v>8.411214953</v>
      </c>
    </row>
    <row r="13">
      <c r="A13" s="25">
        <v>17.0</v>
      </c>
      <c r="B13" s="25">
        <v>3.0</v>
      </c>
      <c r="C13" s="25">
        <v>1337.0</v>
      </c>
      <c r="D13" s="25" t="s">
        <v>11</v>
      </c>
      <c r="E13" s="26"/>
      <c r="F13" s="25">
        <v>209.0</v>
      </c>
      <c r="G13" s="26">
        <f t="shared" si="1"/>
        <v>15.63201197</v>
      </c>
      <c r="H13" s="25">
        <v>166.0</v>
      </c>
      <c r="I13" s="25">
        <v>39.0</v>
      </c>
      <c r="J13" s="26">
        <f t="shared" si="2"/>
        <v>4.256410256</v>
      </c>
      <c r="K13" s="26">
        <f t="shared" si="3"/>
        <v>12.41585639</v>
      </c>
    </row>
    <row r="14">
      <c r="A14" s="25">
        <v>17.0</v>
      </c>
      <c r="B14" s="25">
        <v>4.0</v>
      </c>
      <c r="C14" s="25">
        <v>1225.0</v>
      </c>
      <c r="D14" s="25" t="s">
        <v>14</v>
      </c>
      <c r="E14" s="26"/>
      <c r="F14" s="25">
        <v>157.0</v>
      </c>
      <c r="G14" s="26">
        <f t="shared" si="1"/>
        <v>12.81632653</v>
      </c>
      <c r="H14" s="25">
        <v>100.0</v>
      </c>
      <c r="I14" s="25">
        <v>31.0</v>
      </c>
      <c r="J14" s="26">
        <f t="shared" si="2"/>
        <v>3.225806452</v>
      </c>
      <c r="K14" s="26">
        <f t="shared" si="3"/>
        <v>8.163265306</v>
      </c>
    </row>
    <row r="15">
      <c r="A15" s="27">
        <v>18.0</v>
      </c>
      <c r="B15" s="27">
        <v>1.0</v>
      </c>
      <c r="C15" s="27">
        <v>1449.0</v>
      </c>
      <c r="D15" s="28"/>
      <c r="E15" s="28">
        <f>AVERAGE(C15:C18)</f>
        <v>1269.25</v>
      </c>
      <c r="F15" s="27">
        <v>366.0</v>
      </c>
      <c r="G15" s="28">
        <f t="shared" si="1"/>
        <v>25.25879917</v>
      </c>
      <c r="H15" s="27">
        <v>340.0</v>
      </c>
      <c r="I15" s="27">
        <v>53.0</v>
      </c>
      <c r="J15" s="28">
        <f t="shared" si="2"/>
        <v>6.41509434</v>
      </c>
      <c r="K15" s="28">
        <f t="shared" si="3"/>
        <v>23.46445825</v>
      </c>
    </row>
    <row r="16">
      <c r="A16" s="27">
        <v>18.0</v>
      </c>
      <c r="B16" s="27">
        <v>2.0</v>
      </c>
      <c r="C16" s="27">
        <v>1072.0</v>
      </c>
      <c r="D16" s="28"/>
      <c r="E16" s="28"/>
      <c r="F16" s="27">
        <v>255.0</v>
      </c>
      <c r="G16" s="28">
        <f t="shared" si="1"/>
        <v>23.78731343</v>
      </c>
      <c r="H16" s="27">
        <v>231.0</v>
      </c>
      <c r="I16" s="27">
        <v>44.0</v>
      </c>
      <c r="J16" s="28">
        <f t="shared" si="2"/>
        <v>5.25</v>
      </c>
      <c r="K16" s="28">
        <f t="shared" si="3"/>
        <v>21.54850746</v>
      </c>
    </row>
    <row r="17">
      <c r="A17" s="27">
        <v>18.0</v>
      </c>
      <c r="B17" s="27">
        <v>3.0</v>
      </c>
      <c r="C17" s="27">
        <v>1266.0</v>
      </c>
      <c r="D17" s="27"/>
      <c r="E17" s="28"/>
      <c r="F17" s="27">
        <v>295.0</v>
      </c>
      <c r="G17" s="28">
        <f t="shared" si="1"/>
        <v>23.30173776</v>
      </c>
      <c r="H17" s="27">
        <v>265.0</v>
      </c>
      <c r="I17" s="27">
        <v>52.0</v>
      </c>
      <c r="J17" s="28">
        <f t="shared" si="2"/>
        <v>5.096153846</v>
      </c>
      <c r="K17" s="28">
        <f t="shared" si="3"/>
        <v>20.93206951</v>
      </c>
    </row>
    <row r="18">
      <c r="A18" s="27">
        <v>18.0</v>
      </c>
      <c r="B18" s="27">
        <v>4.0</v>
      </c>
      <c r="C18" s="27">
        <v>1290.0</v>
      </c>
      <c r="D18" s="28"/>
      <c r="E18" s="28"/>
      <c r="F18" s="27">
        <v>234.0</v>
      </c>
      <c r="G18" s="28">
        <f t="shared" si="1"/>
        <v>18.13953488</v>
      </c>
      <c r="H18" s="27">
        <v>183.0</v>
      </c>
      <c r="I18" s="27">
        <v>31.0</v>
      </c>
      <c r="J18" s="28">
        <f t="shared" si="2"/>
        <v>5.903225806</v>
      </c>
      <c r="K18" s="28">
        <f t="shared" si="3"/>
        <v>14.18604651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12</v>
      </c>
      <c r="E1" s="1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>
      <c r="A2" s="29">
        <v>19.0</v>
      </c>
      <c r="B2" s="29">
        <v>1.0</v>
      </c>
      <c r="C2" s="29">
        <v>617.0</v>
      </c>
      <c r="D2" s="29"/>
      <c r="E2" s="29"/>
      <c r="F2" s="29">
        <v>173.0</v>
      </c>
      <c r="G2" s="30">
        <f t="shared" ref="G2:G8" si="1">(F2/C2)*100</f>
        <v>28.03889789</v>
      </c>
      <c r="H2" s="29">
        <v>136.0</v>
      </c>
      <c r="I2" s="29">
        <v>31.0</v>
      </c>
      <c r="J2" s="30">
        <f t="shared" ref="J2:J8" si="2">H2/I2</f>
        <v>4.387096774</v>
      </c>
      <c r="K2" s="30">
        <f t="shared" ref="K2:K8" si="3">(H2/C2)*100</f>
        <v>22.04213938</v>
      </c>
    </row>
    <row r="3">
      <c r="A3" s="29">
        <v>19.0</v>
      </c>
      <c r="B3" s="29">
        <v>2.0</v>
      </c>
      <c r="C3" s="29">
        <v>490.0</v>
      </c>
      <c r="D3" s="30"/>
      <c r="E3" s="30"/>
      <c r="F3" s="29">
        <v>128.0</v>
      </c>
      <c r="G3" s="30">
        <f t="shared" si="1"/>
        <v>26.12244898</v>
      </c>
      <c r="H3" s="29">
        <v>105.0</v>
      </c>
      <c r="I3" s="29">
        <v>26.0</v>
      </c>
      <c r="J3" s="30">
        <f t="shared" si="2"/>
        <v>4.038461538</v>
      </c>
      <c r="K3" s="30">
        <f t="shared" si="3"/>
        <v>21.42857143</v>
      </c>
    </row>
    <row r="4">
      <c r="A4" s="29">
        <v>19.0</v>
      </c>
      <c r="B4" s="29">
        <v>3.0</v>
      </c>
      <c r="C4" s="29">
        <v>645.0</v>
      </c>
      <c r="D4" s="29"/>
      <c r="E4" s="30"/>
      <c r="F4" s="29">
        <v>199.0</v>
      </c>
      <c r="G4" s="30">
        <f t="shared" si="1"/>
        <v>30.85271318</v>
      </c>
      <c r="H4" s="29">
        <v>176.0</v>
      </c>
      <c r="I4" s="29">
        <v>38.0</v>
      </c>
      <c r="J4" s="30">
        <f t="shared" si="2"/>
        <v>4.631578947</v>
      </c>
      <c r="K4" s="30">
        <f t="shared" si="3"/>
        <v>27.28682171</v>
      </c>
    </row>
    <row r="5">
      <c r="A5" s="31">
        <v>20.0</v>
      </c>
      <c r="B5" s="31">
        <v>1.0</v>
      </c>
      <c r="C5" s="31">
        <v>1015.0</v>
      </c>
      <c r="D5" s="31"/>
      <c r="E5" s="32"/>
      <c r="F5" s="31">
        <v>114.0</v>
      </c>
      <c r="G5" s="32">
        <f t="shared" si="1"/>
        <v>11.23152709</v>
      </c>
      <c r="H5" s="31">
        <v>62.0</v>
      </c>
      <c r="I5" s="31">
        <v>15.0</v>
      </c>
      <c r="J5" s="32">
        <f t="shared" si="2"/>
        <v>4.133333333</v>
      </c>
      <c r="K5" s="32">
        <f t="shared" si="3"/>
        <v>6.108374384</v>
      </c>
    </row>
    <row r="6">
      <c r="A6" s="31">
        <v>20.0</v>
      </c>
      <c r="B6" s="31">
        <v>2.0</v>
      </c>
      <c r="C6" s="31">
        <v>611.0</v>
      </c>
      <c r="D6" s="31" t="s">
        <v>11</v>
      </c>
      <c r="E6" s="32"/>
      <c r="F6" s="31">
        <v>65.0</v>
      </c>
      <c r="G6" s="32">
        <f t="shared" si="1"/>
        <v>10.63829787</v>
      </c>
      <c r="H6" s="31">
        <v>21.0</v>
      </c>
      <c r="I6" s="31">
        <v>8.0</v>
      </c>
      <c r="J6" s="32">
        <f t="shared" si="2"/>
        <v>2.625</v>
      </c>
      <c r="K6" s="32">
        <f t="shared" si="3"/>
        <v>3.436988543</v>
      </c>
    </row>
    <row r="7">
      <c r="A7" s="31">
        <v>20.0</v>
      </c>
      <c r="B7" s="31">
        <v>3.0</v>
      </c>
      <c r="C7" s="31">
        <v>815.0</v>
      </c>
      <c r="D7" s="31"/>
      <c r="E7" s="32"/>
      <c r="F7" s="31">
        <v>98.0</v>
      </c>
      <c r="G7" s="32">
        <f t="shared" si="1"/>
        <v>12.02453988</v>
      </c>
      <c r="H7" s="31">
        <v>34.0</v>
      </c>
      <c r="I7" s="31">
        <v>11.0</v>
      </c>
      <c r="J7" s="32">
        <f t="shared" si="2"/>
        <v>3.090909091</v>
      </c>
      <c r="K7" s="32">
        <f t="shared" si="3"/>
        <v>4.171779141</v>
      </c>
    </row>
    <row r="8">
      <c r="A8" s="31">
        <v>20.0</v>
      </c>
      <c r="B8" s="31">
        <v>4.0</v>
      </c>
      <c r="C8" s="31">
        <v>840.0</v>
      </c>
      <c r="D8" s="31"/>
      <c r="E8" s="32"/>
      <c r="F8" s="31">
        <v>85.0</v>
      </c>
      <c r="G8" s="32">
        <f t="shared" si="1"/>
        <v>10.11904762</v>
      </c>
      <c r="H8" s="31">
        <v>52.0</v>
      </c>
      <c r="I8" s="31">
        <v>16.0</v>
      </c>
      <c r="J8" s="32">
        <f t="shared" si="2"/>
        <v>3.25</v>
      </c>
      <c r="K8" s="32">
        <f t="shared" si="3"/>
        <v>6.19047619</v>
      </c>
    </row>
    <row r="9">
      <c r="A9" s="1"/>
      <c r="B9" s="1"/>
      <c r="C9" s="1"/>
      <c r="D9" s="1"/>
      <c r="F9" s="1"/>
      <c r="H9" s="1"/>
      <c r="I9" s="1"/>
    </row>
    <row r="10">
      <c r="A10" s="1"/>
      <c r="B10" s="1"/>
      <c r="C10" s="1"/>
      <c r="D10" s="1"/>
      <c r="F10" s="1"/>
      <c r="H10" s="1"/>
      <c r="I10" s="1"/>
    </row>
  </sheetData>
  <drawing r:id="rId1"/>
</worksheet>
</file>