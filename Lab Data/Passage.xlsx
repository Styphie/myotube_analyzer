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5a615307d5b8c65/Desktop/Lab/myotube-quant/data/"/>
    </mc:Choice>
  </mc:AlternateContent>
  <xr:revisionPtr revIDLastSave="3" documentId="11_F3B738B77D5F5CD2AE9BA43FCFC4F2905564EE29" xr6:coauthVersionLast="47" xr6:coauthVersionMax="47" xr10:uidLastSave="{1967685B-9D62-4313-B4B1-4613828312CF}"/>
  <bookViews>
    <workbookView xWindow="-108" yWindow="-108" windowWidth="23256" windowHeight="12456" xr2:uid="{00000000-000D-0000-FFFF-FFFF00000000}"/>
  </bookViews>
  <sheets>
    <sheet name="7,8,9,10" sheetId="1" r:id="rId1"/>
    <sheet name="11,12,13,14" sheetId="2" r:id="rId2"/>
    <sheet name="15,16,17,18" sheetId="3" r:id="rId3"/>
    <sheet name="19,2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J8" i="4"/>
  <c r="G8" i="4"/>
  <c r="K7" i="4"/>
  <c r="J7" i="4"/>
  <c r="G7" i="4"/>
  <c r="K6" i="4"/>
  <c r="J6" i="4"/>
  <c r="G6" i="4"/>
  <c r="K5" i="4"/>
  <c r="J5" i="4"/>
  <c r="G5" i="4"/>
  <c r="K4" i="4"/>
  <c r="J4" i="4"/>
  <c r="G4" i="4"/>
  <c r="K3" i="4"/>
  <c r="J3" i="4"/>
  <c r="G3" i="4"/>
  <c r="K2" i="4"/>
  <c r="J2" i="4"/>
  <c r="G2" i="4"/>
  <c r="K18" i="3"/>
  <c r="J18" i="3"/>
  <c r="G18" i="3"/>
  <c r="K17" i="3"/>
  <c r="J17" i="3"/>
  <c r="G17" i="3"/>
  <c r="K16" i="3"/>
  <c r="J16" i="3"/>
  <c r="G16" i="3"/>
  <c r="K15" i="3"/>
  <c r="J15" i="3"/>
  <c r="G15" i="3"/>
  <c r="E15" i="3"/>
  <c r="K14" i="3"/>
  <c r="J14" i="3"/>
  <c r="G14" i="3"/>
  <c r="K13" i="3"/>
  <c r="J13" i="3"/>
  <c r="G13" i="3"/>
  <c r="K12" i="3"/>
  <c r="J12" i="3"/>
  <c r="G12" i="3"/>
  <c r="K11" i="3"/>
  <c r="J11" i="3"/>
  <c r="G11" i="3"/>
  <c r="E11" i="3"/>
  <c r="K10" i="3"/>
  <c r="J10" i="3"/>
  <c r="G10" i="3"/>
  <c r="K9" i="3"/>
  <c r="J9" i="3"/>
  <c r="G9" i="3"/>
  <c r="K8" i="3"/>
  <c r="J8" i="3"/>
  <c r="G8" i="3"/>
  <c r="K7" i="3"/>
  <c r="J7" i="3"/>
  <c r="G7" i="3"/>
  <c r="E7" i="3"/>
  <c r="K6" i="3"/>
  <c r="J6" i="3"/>
  <c r="G6" i="3"/>
  <c r="K5" i="3"/>
  <c r="J5" i="3"/>
  <c r="G5" i="3"/>
  <c r="K4" i="3"/>
  <c r="J4" i="3"/>
  <c r="G4" i="3"/>
  <c r="K3" i="3"/>
  <c r="J3" i="3"/>
  <c r="G3" i="3"/>
  <c r="K2" i="3"/>
  <c r="J2" i="3"/>
  <c r="G2" i="3"/>
  <c r="E2" i="3"/>
  <c r="K20" i="2"/>
  <c r="J20" i="2"/>
  <c r="G20" i="2"/>
  <c r="K19" i="2"/>
  <c r="J19" i="2"/>
  <c r="G19" i="2"/>
  <c r="K18" i="2"/>
  <c r="J18" i="2"/>
  <c r="G18" i="2"/>
  <c r="K17" i="2"/>
  <c r="J17" i="2"/>
  <c r="G17" i="2"/>
  <c r="K16" i="2"/>
  <c r="J16" i="2"/>
  <c r="G16" i="2"/>
  <c r="E16" i="2"/>
  <c r="K15" i="2"/>
  <c r="J15" i="2"/>
  <c r="G15" i="2"/>
  <c r="K14" i="2"/>
  <c r="J14" i="2"/>
  <c r="G14" i="2"/>
  <c r="K13" i="2"/>
  <c r="J13" i="2"/>
  <c r="G13" i="2"/>
  <c r="K12" i="2"/>
  <c r="J12" i="2"/>
  <c r="G12" i="2"/>
  <c r="K11" i="2"/>
  <c r="J11" i="2"/>
  <c r="G11" i="2"/>
  <c r="E11" i="2"/>
  <c r="K10" i="2"/>
  <c r="J10" i="2"/>
  <c r="G10" i="2"/>
  <c r="K9" i="2"/>
  <c r="J9" i="2"/>
  <c r="G9" i="2"/>
  <c r="K8" i="2"/>
  <c r="J8" i="2"/>
  <c r="G8" i="2"/>
  <c r="K7" i="2"/>
  <c r="J7" i="2"/>
  <c r="G7" i="2"/>
  <c r="K6" i="2"/>
  <c r="J6" i="2"/>
  <c r="G6" i="2"/>
  <c r="E6" i="2"/>
  <c r="K5" i="2"/>
  <c r="J5" i="2"/>
  <c r="G5" i="2"/>
  <c r="K4" i="2"/>
  <c r="J4" i="2"/>
  <c r="G4" i="2"/>
  <c r="K3" i="2"/>
  <c r="J3" i="2"/>
  <c r="G3" i="2"/>
  <c r="K2" i="2"/>
  <c r="J2" i="2"/>
  <c r="G2" i="2"/>
  <c r="E2" i="2"/>
  <c r="K15" i="1"/>
  <c r="J15" i="1"/>
  <c r="G15" i="1"/>
  <c r="K14" i="1"/>
  <c r="J14" i="1"/>
  <c r="G14" i="1"/>
  <c r="K13" i="1"/>
  <c r="J13" i="1"/>
  <c r="G13" i="1"/>
  <c r="K12" i="1"/>
  <c r="J12" i="1"/>
  <c r="G12" i="1"/>
  <c r="K11" i="1"/>
  <c r="J11" i="1"/>
  <c r="G11" i="1"/>
  <c r="K10" i="1"/>
  <c r="J10" i="1"/>
  <c r="G10" i="1"/>
  <c r="K9" i="1"/>
  <c r="J9" i="1"/>
  <c r="G9" i="1"/>
  <c r="K8" i="1"/>
  <c r="J8" i="1"/>
  <c r="G8" i="1"/>
  <c r="K7" i="1"/>
  <c r="J7" i="1"/>
  <c r="G7" i="1"/>
  <c r="K6" i="1"/>
  <c r="J6" i="1"/>
  <c r="G6" i="1"/>
  <c r="K5" i="1"/>
  <c r="J5" i="1"/>
  <c r="G5" i="1"/>
  <c r="K4" i="1"/>
  <c r="J4" i="1"/>
  <c r="G4" i="1"/>
  <c r="K3" i="1"/>
  <c r="J3" i="1"/>
  <c r="G3" i="1"/>
  <c r="K2" i="1"/>
  <c r="J2" i="1"/>
  <c r="G2" i="1"/>
</calcChain>
</file>

<file path=xl/sharedStrings.xml><?xml version="1.0" encoding="utf-8"?>
<sst xmlns="http://schemas.openxmlformats.org/spreadsheetml/2006/main" count="68" uniqueCount="16">
  <si>
    <t>Passage #</t>
  </si>
  <si>
    <t>Well #</t>
  </si>
  <si>
    <t># of Nuclei</t>
  </si>
  <si>
    <t>Clumping*</t>
  </si>
  <si>
    <t>Average Nuclei</t>
  </si>
  <si>
    <t xml:space="preserve"># of MyHC Positive Nuclei </t>
  </si>
  <si>
    <t>% of MyHC Positive Nucei</t>
  </si>
  <si>
    <t># of Nucei that have Fused (MyHC positive-2 or more)</t>
  </si>
  <si>
    <t># of Myotubes</t>
  </si>
  <si>
    <t>Average # of Nuclei per Myotube</t>
  </si>
  <si>
    <t xml:space="preserve">Fusion Index (%) </t>
  </si>
  <si>
    <t>*</t>
  </si>
  <si>
    <t>Clumping</t>
  </si>
  <si>
    <t>Significant Clumping</t>
  </si>
  <si>
    <t>**</t>
  </si>
  <si>
    <t>Removed from nuclei average becasue clumping is too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</si>
</sst>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rgb="FF1F1F1F"/>
      <name val="&quot;Google Sans&quot;"/>
    </font>
    <font>
      <sz val="9"/>
      <color rgb="FF1F1F1F"/>
      <name val="Google Sans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"/>
  <sheetViews>
    <sheetView tabSelected="1" workbookViewId="0">
      <selection activeCell="F18" sqref="F18"/>
    </sheetView>
  </sheetViews>
  <sheetFormatPr defaultColWidth="12.6640625" defaultRowHeight="15.75" customHeight="1"/>
  <cols>
    <col min="4" max="4" width="21.44140625" customWidth="1"/>
    <col min="7" max="7" width="16.886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>
      <c r="A2" s="5">
        <v>7</v>
      </c>
      <c r="B2" s="5">
        <v>1</v>
      </c>
      <c r="C2" s="5">
        <v>642</v>
      </c>
      <c r="D2" s="5" t="s">
        <v>11</v>
      </c>
      <c r="E2" s="5"/>
      <c r="F2" s="5">
        <v>87</v>
      </c>
      <c r="G2" s="5">
        <f t="shared" ref="G2:G15" si="0">(F2/C2)*100</f>
        <v>13.551401869158877</v>
      </c>
      <c r="H2" s="5">
        <v>72</v>
      </c>
      <c r="I2" s="5">
        <v>14</v>
      </c>
      <c r="J2" s="5">
        <f t="shared" ref="J2:J15" si="1">H2/I2</f>
        <v>5.1428571428571432</v>
      </c>
      <c r="K2" s="5">
        <f t="shared" ref="K2:K15" si="2">(H2/C2)*100</f>
        <v>11.214953271028037</v>
      </c>
    </row>
    <row r="3" spans="1:11">
      <c r="A3" s="5">
        <v>7</v>
      </c>
      <c r="B3" s="5">
        <v>2</v>
      </c>
      <c r="C3" s="5">
        <v>851</v>
      </c>
      <c r="D3" s="5"/>
      <c r="E3" s="5"/>
      <c r="F3" s="5">
        <v>116</v>
      </c>
      <c r="G3" s="5">
        <f t="shared" si="0"/>
        <v>13.631022326674499</v>
      </c>
      <c r="H3" s="5">
        <v>100</v>
      </c>
      <c r="I3" s="5">
        <v>23</v>
      </c>
      <c r="J3" s="5">
        <f t="shared" si="1"/>
        <v>4.3478260869565215</v>
      </c>
      <c r="K3" s="5">
        <f t="shared" si="2"/>
        <v>11.750881316098708</v>
      </c>
    </row>
    <row r="4" spans="1:11">
      <c r="A4" s="5">
        <v>7</v>
      </c>
      <c r="B4" s="5">
        <v>3</v>
      </c>
      <c r="C4" s="5">
        <v>809</v>
      </c>
      <c r="D4" s="5" t="s">
        <v>11</v>
      </c>
      <c r="E4" s="5"/>
      <c r="F4" s="5">
        <v>131</v>
      </c>
      <c r="G4" s="5">
        <f t="shared" si="0"/>
        <v>16.192830655129789</v>
      </c>
      <c r="H4" s="5">
        <v>126</v>
      </c>
      <c r="I4" s="5">
        <v>21</v>
      </c>
      <c r="J4" s="5">
        <f t="shared" si="1"/>
        <v>6</v>
      </c>
      <c r="K4" s="5">
        <f t="shared" si="2"/>
        <v>15.57478368355995</v>
      </c>
    </row>
    <row r="5" spans="1:11">
      <c r="A5" s="6">
        <v>8</v>
      </c>
      <c r="B5" s="6">
        <v>1</v>
      </c>
      <c r="C5" s="6">
        <v>747</v>
      </c>
      <c r="D5" s="6"/>
      <c r="E5" s="6"/>
      <c r="F5" s="6">
        <v>71</v>
      </c>
      <c r="G5" s="6">
        <f t="shared" si="0"/>
        <v>9.5046854082998671</v>
      </c>
      <c r="H5" s="6">
        <v>53</v>
      </c>
      <c r="I5" s="6">
        <v>14</v>
      </c>
      <c r="J5" s="6">
        <f t="shared" si="1"/>
        <v>3.7857142857142856</v>
      </c>
      <c r="K5" s="6">
        <f t="shared" si="2"/>
        <v>7.0950468540829981</v>
      </c>
    </row>
    <row r="6" spans="1:11">
      <c r="A6" s="6">
        <v>8</v>
      </c>
      <c r="B6" s="6">
        <v>2</v>
      </c>
      <c r="C6" s="6">
        <v>336</v>
      </c>
      <c r="D6" s="6"/>
      <c r="E6" s="6"/>
      <c r="F6" s="6">
        <v>34</v>
      </c>
      <c r="G6" s="6">
        <f t="shared" si="0"/>
        <v>10.119047619047619</v>
      </c>
      <c r="H6" s="6">
        <v>26</v>
      </c>
      <c r="I6" s="6">
        <v>8</v>
      </c>
      <c r="J6" s="6">
        <f t="shared" si="1"/>
        <v>3.25</v>
      </c>
      <c r="K6" s="6">
        <f t="shared" si="2"/>
        <v>7.7380952380952381</v>
      </c>
    </row>
    <row r="7" spans="1:11">
      <c r="A7" s="6">
        <v>8</v>
      </c>
      <c r="B7" s="6">
        <v>3</v>
      </c>
      <c r="C7" s="6">
        <v>617</v>
      </c>
      <c r="D7" s="6"/>
      <c r="E7" s="6"/>
      <c r="F7" s="6">
        <v>41</v>
      </c>
      <c r="G7" s="6">
        <f t="shared" si="0"/>
        <v>6.6450567260940039</v>
      </c>
      <c r="H7" s="6">
        <v>20</v>
      </c>
      <c r="I7" s="6">
        <v>5</v>
      </c>
      <c r="J7" s="6">
        <f t="shared" si="1"/>
        <v>4</v>
      </c>
      <c r="K7" s="6">
        <f t="shared" si="2"/>
        <v>3.2414910858995136</v>
      </c>
    </row>
    <row r="8" spans="1:11">
      <c r="A8" s="6">
        <v>8</v>
      </c>
      <c r="B8" s="6">
        <v>4</v>
      </c>
      <c r="C8" s="6">
        <v>750</v>
      </c>
      <c r="D8" s="6"/>
      <c r="E8" s="6"/>
      <c r="F8" s="6">
        <v>99</v>
      </c>
      <c r="G8" s="6">
        <f t="shared" si="0"/>
        <v>13.200000000000001</v>
      </c>
      <c r="H8" s="6">
        <v>73</v>
      </c>
      <c r="I8" s="6">
        <v>16</v>
      </c>
      <c r="J8" s="6">
        <f t="shared" si="1"/>
        <v>4.5625</v>
      </c>
      <c r="K8" s="6">
        <f t="shared" si="2"/>
        <v>9.7333333333333325</v>
      </c>
    </row>
    <row r="9" spans="1:11">
      <c r="A9" s="7">
        <v>9</v>
      </c>
      <c r="B9" s="7">
        <v>1</v>
      </c>
      <c r="C9" s="7">
        <v>794</v>
      </c>
      <c r="D9" s="7" t="s">
        <v>11</v>
      </c>
      <c r="E9" s="7"/>
      <c r="F9" s="7">
        <v>302</v>
      </c>
      <c r="G9" s="7">
        <f t="shared" si="0"/>
        <v>38.035264483627202</v>
      </c>
      <c r="H9" s="7">
        <v>362</v>
      </c>
      <c r="I9" s="7">
        <v>40</v>
      </c>
      <c r="J9" s="7">
        <f t="shared" si="1"/>
        <v>9.0500000000000007</v>
      </c>
      <c r="K9" s="7">
        <f t="shared" si="2"/>
        <v>45.591939546599498</v>
      </c>
    </row>
    <row r="10" spans="1:11">
      <c r="A10" s="7">
        <v>9</v>
      </c>
      <c r="B10" s="7">
        <v>2</v>
      </c>
      <c r="C10" s="7">
        <v>596</v>
      </c>
      <c r="D10" s="7" t="s">
        <v>11</v>
      </c>
      <c r="E10" s="7"/>
      <c r="F10" s="7">
        <v>175</v>
      </c>
      <c r="G10" s="7">
        <f t="shared" si="0"/>
        <v>29.36241610738255</v>
      </c>
      <c r="H10" s="7">
        <v>149</v>
      </c>
      <c r="I10" s="7">
        <v>36</v>
      </c>
      <c r="J10" s="7">
        <f t="shared" si="1"/>
        <v>4.1388888888888893</v>
      </c>
      <c r="K10" s="7">
        <f t="shared" si="2"/>
        <v>25</v>
      </c>
    </row>
    <row r="11" spans="1:11">
      <c r="A11" s="7">
        <v>9</v>
      </c>
      <c r="B11" s="7">
        <v>3</v>
      </c>
      <c r="C11" s="7">
        <v>978</v>
      </c>
      <c r="D11" s="7"/>
      <c r="E11" s="7"/>
      <c r="F11" s="7">
        <v>440</v>
      </c>
      <c r="G11" s="7">
        <f t="shared" si="0"/>
        <v>44.989775051124745</v>
      </c>
      <c r="H11" s="7">
        <v>429</v>
      </c>
      <c r="I11" s="7">
        <v>74</v>
      </c>
      <c r="J11" s="7">
        <f t="shared" si="1"/>
        <v>5.7972972972972974</v>
      </c>
      <c r="K11" s="7">
        <f t="shared" si="2"/>
        <v>43.865030674846629</v>
      </c>
    </row>
    <row r="12" spans="1:11">
      <c r="A12" s="8">
        <v>10</v>
      </c>
      <c r="B12" s="8">
        <v>1</v>
      </c>
      <c r="C12" s="8">
        <v>618</v>
      </c>
      <c r="D12" s="8"/>
      <c r="E12" s="8"/>
      <c r="F12" s="8">
        <v>43</v>
      </c>
      <c r="G12" s="8">
        <f t="shared" si="0"/>
        <v>6.9579288025889969</v>
      </c>
      <c r="H12" s="8">
        <v>12</v>
      </c>
      <c r="I12" s="8">
        <v>4</v>
      </c>
      <c r="J12" s="8">
        <f t="shared" si="1"/>
        <v>3</v>
      </c>
      <c r="K12" s="8">
        <f t="shared" si="2"/>
        <v>1.9417475728155338</v>
      </c>
    </row>
    <row r="13" spans="1:11">
      <c r="A13" s="8">
        <v>10</v>
      </c>
      <c r="B13" s="8">
        <v>2</v>
      </c>
      <c r="C13" s="8">
        <v>701</v>
      </c>
      <c r="D13" s="8"/>
      <c r="E13" s="8"/>
      <c r="F13" s="8">
        <v>75</v>
      </c>
      <c r="G13" s="8">
        <f t="shared" si="0"/>
        <v>10.699001426533524</v>
      </c>
      <c r="H13" s="8">
        <v>54</v>
      </c>
      <c r="I13" s="8">
        <v>17</v>
      </c>
      <c r="J13" s="8">
        <f t="shared" si="1"/>
        <v>3.1764705882352939</v>
      </c>
      <c r="K13" s="8">
        <f t="shared" si="2"/>
        <v>7.7032810271041363</v>
      </c>
    </row>
    <row r="14" spans="1:11">
      <c r="A14" s="8">
        <v>10</v>
      </c>
      <c r="B14" s="8">
        <v>3</v>
      </c>
      <c r="C14" s="8">
        <v>745</v>
      </c>
      <c r="D14" s="8" t="s">
        <v>11</v>
      </c>
      <c r="E14" s="8"/>
      <c r="F14" s="8">
        <v>68</v>
      </c>
      <c r="G14" s="8">
        <f t="shared" si="0"/>
        <v>9.1275167785234892</v>
      </c>
      <c r="H14" s="8">
        <v>36</v>
      </c>
      <c r="I14" s="8">
        <v>8</v>
      </c>
      <c r="J14" s="8">
        <f t="shared" si="1"/>
        <v>4.5</v>
      </c>
      <c r="K14" s="8">
        <f t="shared" si="2"/>
        <v>4.8322147651006713</v>
      </c>
    </row>
    <row r="15" spans="1:11">
      <c r="A15" s="8">
        <v>10</v>
      </c>
      <c r="B15" s="8">
        <v>4</v>
      </c>
      <c r="C15" s="8">
        <v>380</v>
      </c>
      <c r="D15" s="8"/>
      <c r="E15" s="8"/>
      <c r="F15" s="8">
        <v>7</v>
      </c>
      <c r="G15" s="8">
        <f t="shared" si="0"/>
        <v>1.8421052631578945</v>
      </c>
      <c r="H15" s="8">
        <v>0</v>
      </c>
      <c r="I15" s="8">
        <v>0</v>
      </c>
      <c r="J15" s="8" t="e">
        <f t="shared" si="1"/>
        <v>#DIV/0!</v>
      </c>
      <c r="K15" s="8">
        <f t="shared" si="2"/>
        <v>0</v>
      </c>
    </row>
    <row r="16" spans="1:11">
      <c r="A16" s="1"/>
      <c r="B16" s="1"/>
      <c r="C16" s="1"/>
      <c r="D16" s="1"/>
      <c r="F16" s="1"/>
      <c r="H16" s="1"/>
      <c r="I16" s="1"/>
    </row>
    <row r="17" spans="1:9">
      <c r="A17" s="1" t="s">
        <v>12</v>
      </c>
      <c r="B17" s="1"/>
      <c r="C17" s="1"/>
      <c r="D17" s="1"/>
      <c r="F17" s="1"/>
      <c r="H17" s="1"/>
      <c r="I17" s="1"/>
    </row>
    <row r="18" spans="1:9">
      <c r="A18" s="1"/>
      <c r="B18" s="1"/>
      <c r="C18" s="1"/>
      <c r="F18" s="1"/>
      <c r="H18" s="1"/>
      <c r="I18" s="1"/>
    </row>
    <row r="19" spans="1:9">
      <c r="A19" s="1" t="s">
        <v>11</v>
      </c>
      <c r="B19" s="1" t="s">
        <v>13</v>
      </c>
      <c r="C19" s="1"/>
      <c r="F19" s="1"/>
      <c r="H19" s="1"/>
      <c r="I19" s="1"/>
    </row>
    <row r="20" spans="1:9">
      <c r="A20" s="1" t="s">
        <v>14</v>
      </c>
      <c r="B20" s="1" t="s">
        <v>15</v>
      </c>
      <c r="C20" s="1"/>
      <c r="F20" s="1"/>
      <c r="H20" s="1"/>
      <c r="I20" s="1"/>
    </row>
    <row r="21" spans="1:9">
      <c r="A21" s="1"/>
      <c r="B21" s="1"/>
      <c r="C21" s="1"/>
    </row>
    <row r="22" spans="1:9">
      <c r="A22" s="1"/>
      <c r="B22" s="1"/>
      <c r="C22" s="1"/>
    </row>
    <row r="23" spans="1:9">
      <c r="A23" s="1"/>
      <c r="B23" s="1"/>
      <c r="C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"/>
  <sheetViews>
    <sheetView workbookViewId="0"/>
  </sheetViews>
  <sheetFormatPr defaultColWidth="12.66406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>
      <c r="A2" s="9">
        <v>11</v>
      </c>
      <c r="B2" s="9">
        <v>2</v>
      </c>
      <c r="C2" s="9">
        <v>1023</v>
      </c>
      <c r="D2" s="9" t="s">
        <v>11</v>
      </c>
      <c r="E2" s="9">
        <f>(C2+C3+C4+C5)/4</f>
        <v>914.5</v>
      </c>
      <c r="F2" s="9">
        <v>89</v>
      </c>
      <c r="G2" s="9">
        <f t="shared" ref="G2:G20" si="0">(F2/C2)*100</f>
        <v>8.6999022482893462</v>
      </c>
      <c r="H2" s="9">
        <v>81</v>
      </c>
      <c r="I2" s="9">
        <v>15</v>
      </c>
      <c r="J2" s="9">
        <f t="shared" ref="J2:J20" si="1">H2/I2</f>
        <v>5.4</v>
      </c>
      <c r="K2" s="9">
        <f t="shared" ref="K2:K20" si="2">(H2/C2)*100</f>
        <v>7.9178885630498534</v>
      </c>
    </row>
    <row r="3" spans="1:11">
      <c r="A3" s="9">
        <v>11</v>
      </c>
      <c r="B3" s="9">
        <v>3</v>
      </c>
      <c r="C3" s="9">
        <v>1041</v>
      </c>
      <c r="D3" s="9"/>
      <c r="E3" s="9"/>
      <c r="F3" s="9">
        <v>178</v>
      </c>
      <c r="G3" s="9">
        <f t="shared" si="0"/>
        <v>17.098943323727188</v>
      </c>
      <c r="H3" s="9">
        <v>134</v>
      </c>
      <c r="I3" s="9">
        <v>23</v>
      </c>
      <c r="J3" s="9">
        <f t="shared" si="1"/>
        <v>5.8260869565217392</v>
      </c>
      <c r="K3" s="9">
        <f t="shared" si="2"/>
        <v>12.87223823246878</v>
      </c>
    </row>
    <row r="4" spans="1:11">
      <c r="A4" s="9">
        <v>11</v>
      </c>
      <c r="B4" s="9">
        <v>4</v>
      </c>
      <c r="C4" s="9">
        <v>668</v>
      </c>
      <c r="D4" s="9"/>
      <c r="E4" s="9"/>
      <c r="F4" s="9">
        <v>133</v>
      </c>
      <c r="G4" s="9">
        <f t="shared" si="0"/>
        <v>19.91017964071856</v>
      </c>
      <c r="H4" s="9">
        <v>79</v>
      </c>
      <c r="I4" s="9">
        <v>20</v>
      </c>
      <c r="J4" s="9">
        <f t="shared" si="1"/>
        <v>3.95</v>
      </c>
      <c r="K4" s="9">
        <f t="shared" si="2"/>
        <v>11.826347305389222</v>
      </c>
    </row>
    <row r="5" spans="1:11">
      <c r="A5" s="9">
        <v>11</v>
      </c>
      <c r="B5" s="9">
        <v>5</v>
      </c>
      <c r="C5" s="9">
        <v>926</v>
      </c>
      <c r="D5" s="9" t="s">
        <v>11</v>
      </c>
      <c r="E5" s="9"/>
      <c r="F5" s="9">
        <v>320</v>
      </c>
      <c r="G5" s="9">
        <f t="shared" si="0"/>
        <v>34.557235421166304</v>
      </c>
      <c r="H5" s="9">
        <v>296</v>
      </c>
      <c r="I5" s="9">
        <v>45</v>
      </c>
      <c r="J5" s="9">
        <f t="shared" si="1"/>
        <v>6.5777777777777775</v>
      </c>
      <c r="K5" s="9">
        <f t="shared" si="2"/>
        <v>31.965442764578832</v>
      </c>
    </row>
    <row r="6" spans="1:11">
      <c r="A6" s="10">
        <v>12</v>
      </c>
      <c r="B6" s="10">
        <v>1</v>
      </c>
      <c r="C6" s="10">
        <v>676</v>
      </c>
      <c r="D6" s="10"/>
      <c r="E6" s="10">
        <f>AVERAGE(C6:C10)</f>
        <v>533</v>
      </c>
      <c r="F6" s="10">
        <v>73</v>
      </c>
      <c r="G6" s="10">
        <f t="shared" si="0"/>
        <v>10.798816568047338</v>
      </c>
      <c r="H6" s="10">
        <v>43</v>
      </c>
      <c r="I6" s="10">
        <v>12</v>
      </c>
      <c r="J6" s="10">
        <f t="shared" si="1"/>
        <v>3.5833333333333335</v>
      </c>
      <c r="K6" s="10">
        <f t="shared" si="2"/>
        <v>6.3609467455621305</v>
      </c>
    </row>
    <row r="7" spans="1:11">
      <c r="A7" s="10">
        <v>12</v>
      </c>
      <c r="B7" s="10">
        <v>2</v>
      </c>
      <c r="C7" s="10">
        <v>521</v>
      </c>
      <c r="D7" s="10"/>
      <c r="E7" s="10"/>
      <c r="F7" s="10">
        <v>162</v>
      </c>
      <c r="G7" s="10">
        <f t="shared" si="0"/>
        <v>31.094049904030712</v>
      </c>
      <c r="H7" s="10">
        <v>137</v>
      </c>
      <c r="I7" s="10">
        <v>17</v>
      </c>
      <c r="J7" s="10">
        <f t="shared" si="1"/>
        <v>8.0588235294117645</v>
      </c>
      <c r="K7" s="10">
        <f t="shared" si="2"/>
        <v>26.29558541266795</v>
      </c>
    </row>
    <row r="8" spans="1:11">
      <c r="A8" s="10">
        <v>12</v>
      </c>
      <c r="B8" s="10">
        <v>3</v>
      </c>
      <c r="C8" s="10">
        <v>597</v>
      </c>
      <c r="D8" s="10" t="s">
        <v>11</v>
      </c>
      <c r="E8" s="10"/>
      <c r="F8" s="10">
        <v>172</v>
      </c>
      <c r="G8" s="10">
        <f t="shared" si="0"/>
        <v>28.810720268006701</v>
      </c>
      <c r="H8" s="10">
        <v>137</v>
      </c>
      <c r="I8" s="10">
        <v>24</v>
      </c>
      <c r="J8" s="10">
        <f t="shared" si="1"/>
        <v>5.708333333333333</v>
      </c>
      <c r="K8" s="10">
        <f t="shared" si="2"/>
        <v>22.948073701842546</v>
      </c>
    </row>
    <row r="9" spans="1:11">
      <c r="A9" s="10">
        <v>12</v>
      </c>
      <c r="B9" s="10">
        <v>4</v>
      </c>
      <c r="C9" s="10">
        <v>308</v>
      </c>
      <c r="D9" s="10"/>
      <c r="E9" s="10"/>
      <c r="F9" s="10">
        <v>37</v>
      </c>
      <c r="G9" s="10">
        <f t="shared" si="0"/>
        <v>12.012987012987013</v>
      </c>
      <c r="H9" s="10">
        <v>6</v>
      </c>
      <c r="I9" s="10">
        <v>2</v>
      </c>
      <c r="J9" s="10">
        <f t="shared" si="1"/>
        <v>3</v>
      </c>
      <c r="K9" s="10">
        <f t="shared" si="2"/>
        <v>1.948051948051948</v>
      </c>
    </row>
    <row r="10" spans="1:11">
      <c r="A10" s="10">
        <v>12</v>
      </c>
      <c r="B10" s="10">
        <v>5</v>
      </c>
      <c r="C10" s="10">
        <v>563</v>
      </c>
      <c r="D10" s="10" t="s">
        <v>11</v>
      </c>
      <c r="E10" s="10"/>
      <c r="F10" s="10">
        <v>148</v>
      </c>
      <c r="G10" s="10">
        <f t="shared" si="0"/>
        <v>26.287744227353464</v>
      </c>
      <c r="H10" s="10">
        <v>114</v>
      </c>
      <c r="I10" s="10">
        <v>24</v>
      </c>
      <c r="J10" s="10">
        <f t="shared" si="1"/>
        <v>4.75</v>
      </c>
      <c r="K10" s="10">
        <f t="shared" si="2"/>
        <v>20.24866785079929</v>
      </c>
    </row>
    <row r="11" spans="1:11">
      <c r="A11" s="11">
        <v>13</v>
      </c>
      <c r="B11" s="11">
        <v>1</v>
      </c>
      <c r="C11" s="11">
        <v>458</v>
      </c>
      <c r="D11" s="11"/>
      <c r="E11" s="11">
        <f>AVERAGE(C11:C15)</f>
        <v>505</v>
      </c>
      <c r="F11" s="11">
        <v>79</v>
      </c>
      <c r="G11" s="11">
        <f t="shared" si="0"/>
        <v>17.248908296943235</v>
      </c>
      <c r="H11" s="11">
        <v>53</v>
      </c>
      <c r="I11" s="11">
        <v>12</v>
      </c>
      <c r="J11" s="11">
        <f t="shared" si="1"/>
        <v>4.416666666666667</v>
      </c>
      <c r="K11" s="11">
        <f t="shared" si="2"/>
        <v>11.572052401746726</v>
      </c>
    </row>
    <row r="12" spans="1:11">
      <c r="A12" s="11">
        <v>13</v>
      </c>
      <c r="B12" s="11">
        <v>2</v>
      </c>
      <c r="C12" s="11">
        <v>391</v>
      </c>
      <c r="D12" s="11"/>
      <c r="E12" s="11"/>
      <c r="F12" s="11">
        <v>43</v>
      </c>
      <c r="G12" s="11">
        <f t="shared" si="0"/>
        <v>10.997442455242968</v>
      </c>
      <c r="H12" s="11">
        <v>28</v>
      </c>
      <c r="I12" s="11">
        <v>6</v>
      </c>
      <c r="J12" s="11">
        <f t="shared" si="1"/>
        <v>4.666666666666667</v>
      </c>
      <c r="K12" s="11">
        <f t="shared" si="2"/>
        <v>7.1611253196930944</v>
      </c>
    </row>
    <row r="13" spans="1:11">
      <c r="A13" s="11">
        <v>13</v>
      </c>
      <c r="B13" s="11">
        <v>3</v>
      </c>
      <c r="C13" s="11">
        <v>453</v>
      </c>
      <c r="D13" s="11" t="s">
        <v>11</v>
      </c>
      <c r="E13" s="11"/>
      <c r="F13" s="11">
        <v>60</v>
      </c>
      <c r="G13" s="11">
        <f t="shared" si="0"/>
        <v>13.245033112582782</v>
      </c>
      <c r="H13" s="11">
        <v>21</v>
      </c>
      <c r="I13" s="11">
        <v>6</v>
      </c>
      <c r="J13" s="11">
        <f t="shared" si="1"/>
        <v>3.5</v>
      </c>
      <c r="K13" s="11">
        <f t="shared" si="2"/>
        <v>4.6357615894039732</v>
      </c>
    </row>
    <row r="14" spans="1:11">
      <c r="A14" s="11">
        <v>13</v>
      </c>
      <c r="B14" s="11">
        <v>4</v>
      </c>
      <c r="C14" s="11">
        <v>755</v>
      </c>
      <c r="D14" s="11"/>
      <c r="E14" s="11"/>
      <c r="F14" s="11">
        <v>15</v>
      </c>
      <c r="G14" s="11">
        <f t="shared" si="0"/>
        <v>1.9867549668874174</v>
      </c>
      <c r="H14" s="11">
        <v>5</v>
      </c>
      <c r="I14" s="11">
        <v>2</v>
      </c>
      <c r="J14" s="11">
        <f t="shared" si="1"/>
        <v>2.5</v>
      </c>
      <c r="K14" s="11">
        <f t="shared" si="2"/>
        <v>0.66225165562913912</v>
      </c>
    </row>
    <row r="15" spans="1:11">
      <c r="A15" s="11">
        <v>13</v>
      </c>
      <c r="B15" s="11">
        <v>5</v>
      </c>
      <c r="C15" s="11">
        <v>468</v>
      </c>
      <c r="D15" s="11"/>
      <c r="E15" s="11"/>
      <c r="F15" s="11">
        <v>53</v>
      </c>
      <c r="G15" s="11">
        <f t="shared" si="0"/>
        <v>11.324786324786325</v>
      </c>
      <c r="H15" s="11">
        <v>24</v>
      </c>
      <c r="I15" s="11">
        <v>7</v>
      </c>
      <c r="J15" s="11">
        <f t="shared" si="1"/>
        <v>3.4285714285714284</v>
      </c>
      <c r="K15" s="11">
        <f t="shared" si="2"/>
        <v>5.1282051282051277</v>
      </c>
    </row>
    <row r="16" spans="1:11">
      <c r="A16" s="12">
        <v>14</v>
      </c>
      <c r="B16" s="12">
        <v>1</v>
      </c>
      <c r="C16" s="12">
        <v>937</v>
      </c>
      <c r="D16" s="12"/>
      <c r="E16" s="12">
        <f>AVERAGE(C16,C17,C18,C20)</f>
        <v>763</v>
      </c>
      <c r="F16" s="12">
        <v>33</v>
      </c>
      <c r="G16" s="12">
        <f t="shared" si="0"/>
        <v>3.5218783351120595</v>
      </c>
      <c r="H16" s="12">
        <v>6</v>
      </c>
      <c r="I16" s="12">
        <v>3</v>
      </c>
      <c r="J16" s="12">
        <f t="shared" si="1"/>
        <v>2</v>
      </c>
      <c r="K16" s="12">
        <f t="shared" si="2"/>
        <v>0.64034151547491991</v>
      </c>
    </row>
    <row r="17" spans="1:11">
      <c r="A17" s="12">
        <v>14</v>
      </c>
      <c r="B17" s="12">
        <v>2</v>
      </c>
      <c r="C17" s="12">
        <v>806</v>
      </c>
      <c r="D17" s="12"/>
      <c r="E17" s="12"/>
      <c r="F17" s="12">
        <v>23</v>
      </c>
      <c r="G17" s="12">
        <f t="shared" si="0"/>
        <v>2.8535980148883375</v>
      </c>
      <c r="H17" s="12">
        <v>10</v>
      </c>
      <c r="I17" s="12">
        <v>4</v>
      </c>
      <c r="J17" s="12">
        <f t="shared" si="1"/>
        <v>2.5</v>
      </c>
      <c r="K17" s="12">
        <f t="shared" si="2"/>
        <v>1.240694789081886</v>
      </c>
    </row>
    <row r="18" spans="1:11">
      <c r="A18" s="12">
        <v>14</v>
      </c>
      <c r="B18" s="12">
        <v>3</v>
      </c>
      <c r="C18" s="12">
        <v>692</v>
      </c>
      <c r="D18" s="12"/>
      <c r="E18" s="12"/>
      <c r="F18" s="12">
        <v>71</v>
      </c>
      <c r="G18" s="12">
        <f t="shared" si="0"/>
        <v>10.260115606936417</v>
      </c>
      <c r="H18" s="12">
        <v>43</v>
      </c>
      <c r="I18" s="12">
        <v>10</v>
      </c>
      <c r="J18" s="12">
        <f t="shared" si="1"/>
        <v>4.3</v>
      </c>
      <c r="K18" s="12">
        <f t="shared" si="2"/>
        <v>6.2138728323699421</v>
      </c>
    </row>
    <row r="19" spans="1:11">
      <c r="A19" s="12">
        <v>14</v>
      </c>
      <c r="B19" s="12">
        <v>4</v>
      </c>
      <c r="C19" s="12">
        <v>722</v>
      </c>
      <c r="D19" s="12" t="s">
        <v>14</v>
      </c>
      <c r="E19" s="12"/>
      <c r="F19" s="12">
        <v>308</v>
      </c>
      <c r="G19" s="12">
        <f t="shared" si="0"/>
        <v>42.659279778393348</v>
      </c>
      <c r="H19" s="12">
        <v>273</v>
      </c>
      <c r="I19" s="12">
        <v>37</v>
      </c>
      <c r="J19" s="12">
        <f t="shared" si="1"/>
        <v>7.3783783783783781</v>
      </c>
      <c r="K19" s="12">
        <f t="shared" si="2"/>
        <v>37.81163434903047</v>
      </c>
    </row>
    <row r="20" spans="1:11">
      <c r="A20" s="12">
        <v>14</v>
      </c>
      <c r="B20" s="12">
        <v>5</v>
      </c>
      <c r="C20" s="12">
        <v>617</v>
      </c>
      <c r="D20" s="12"/>
      <c r="E20" s="12"/>
      <c r="F20" s="12">
        <v>138</v>
      </c>
      <c r="G20" s="12">
        <f t="shared" si="0"/>
        <v>22.366288492706644</v>
      </c>
      <c r="H20" s="12">
        <v>90</v>
      </c>
      <c r="I20" s="12">
        <v>21</v>
      </c>
      <c r="J20" s="12">
        <f t="shared" si="1"/>
        <v>4.2857142857142856</v>
      </c>
      <c r="K20" s="12">
        <f t="shared" si="2"/>
        <v>14.58670988654781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8"/>
  <sheetViews>
    <sheetView workbookViewId="0"/>
  </sheetViews>
  <sheetFormatPr defaultColWidth="12.66406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>
      <c r="A2" s="13">
        <v>15</v>
      </c>
      <c r="B2" s="13">
        <v>1</v>
      </c>
      <c r="C2" s="13">
        <v>1377</v>
      </c>
      <c r="D2" s="13"/>
      <c r="E2" s="13">
        <f>AVERAGE(C2:C6)</f>
        <v>1241.5999999999999</v>
      </c>
      <c r="F2" s="13"/>
      <c r="G2" s="13">
        <f t="shared" ref="G2:G18" si="0">(F2/C2)*100</f>
        <v>0</v>
      </c>
      <c r="H2" s="13"/>
      <c r="I2" s="13"/>
      <c r="J2" s="13" t="e">
        <f t="shared" ref="J2:J18" si="1">H2/I2</f>
        <v>#DIV/0!</v>
      </c>
      <c r="K2" s="13">
        <f t="shared" ref="K2:K18" si="2">(H2/C2)*100</f>
        <v>0</v>
      </c>
    </row>
    <row r="3" spans="1:11">
      <c r="A3" s="13">
        <v>15</v>
      </c>
      <c r="B3" s="13">
        <v>2</v>
      </c>
      <c r="C3" s="13">
        <v>1037</v>
      </c>
      <c r="D3" s="13"/>
      <c r="E3" s="13"/>
      <c r="F3" s="13">
        <v>156</v>
      </c>
      <c r="G3" s="13">
        <f t="shared" si="0"/>
        <v>15.043394406943106</v>
      </c>
      <c r="H3" s="13">
        <v>104</v>
      </c>
      <c r="I3" s="13">
        <v>20</v>
      </c>
      <c r="J3" s="13">
        <f t="shared" si="1"/>
        <v>5.2</v>
      </c>
      <c r="K3" s="13">
        <f t="shared" si="2"/>
        <v>10.028929604628736</v>
      </c>
    </row>
    <row r="4" spans="1:11">
      <c r="A4" s="13">
        <v>15</v>
      </c>
      <c r="B4" s="13">
        <v>3</v>
      </c>
      <c r="C4" s="13">
        <v>1569</v>
      </c>
      <c r="D4" s="13" t="s">
        <v>11</v>
      </c>
      <c r="E4" s="13"/>
      <c r="F4" s="13">
        <v>104</v>
      </c>
      <c r="G4" s="13">
        <f t="shared" si="0"/>
        <v>6.6284257488846396</v>
      </c>
      <c r="H4" s="13">
        <v>90</v>
      </c>
      <c r="I4" s="13">
        <v>17</v>
      </c>
      <c r="J4" s="13">
        <f t="shared" si="1"/>
        <v>5.2941176470588234</v>
      </c>
      <c r="K4" s="13">
        <f t="shared" si="2"/>
        <v>5.736137667304015</v>
      </c>
    </row>
    <row r="5" spans="1:11">
      <c r="A5" s="13">
        <v>15</v>
      </c>
      <c r="B5" s="13">
        <v>4</v>
      </c>
      <c r="C5" s="13">
        <v>1019</v>
      </c>
      <c r="D5" s="13"/>
      <c r="E5" s="13"/>
      <c r="F5" s="13">
        <v>395</v>
      </c>
      <c r="G5" s="13">
        <f t="shared" si="0"/>
        <v>38.763493621197256</v>
      </c>
      <c r="H5" s="13">
        <v>353</v>
      </c>
      <c r="I5" s="13">
        <v>53</v>
      </c>
      <c r="J5" s="13">
        <f t="shared" si="1"/>
        <v>6.6603773584905657</v>
      </c>
      <c r="K5" s="13">
        <f t="shared" si="2"/>
        <v>34.641805691854763</v>
      </c>
    </row>
    <row r="6" spans="1:11">
      <c r="A6" s="13">
        <v>15</v>
      </c>
      <c r="B6" s="13">
        <v>5</v>
      </c>
      <c r="C6" s="13">
        <v>1206</v>
      </c>
      <c r="D6" s="13" t="s">
        <v>11</v>
      </c>
      <c r="E6" s="13"/>
      <c r="F6" s="13">
        <v>276</v>
      </c>
      <c r="G6" s="13">
        <f t="shared" si="0"/>
        <v>22.885572139303484</v>
      </c>
      <c r="H6" s="13">
        <v>219</v>
      </c>
      <c r="I6" s="13">
        <v>30</v>
      </c>
      <c r="J6" s="13">
        <f t="shared" si="1"/>
        <v>7.3</v>
      </c>
      <c r="K6" s="13">
        <f t="shared" si="2"/>
        <v>18.159203980099502</v>
      </c>
    </row>
    <row r="7" spans="1:11">
      <c r="A7" s="14">
        <v>16</v>
      </c>
      <c r="B7" s="14">
        <v>1</v>
      </c>
      <c r="C7" s="14">
        <v>1378</v>
      </c>
      <c r="D7" s="14"/>
      <c r="E7" s="14">
        <f>AVERAGE(C7:C10)</f>
        <v>1189.25</v>
      </c>
      <c r="F7" s="14">
        <v>248</v>
      </c>
      <c r="G7" s="14">
        <f t="shared" si="0"/>
        <v>17.99709724238026</v>
      </c>
      <c r="H7" s="14">
        <v>198</v>
      </c>
      <c r="I7" s="14">
        <v>30</v>
      </c>
      <c r="J7" s="14">
        <f t="shared" si="1"/>
        <v>6.6</v>
      </c>
      <c r="K7" s="14">
        <f t="shared" si="2"/>
        <v>14.368650217706822</v>
      </c>
    </row>
    <row r="8" spans="1:11">
      <c r="A8" s="14">
        <v>16</v>
      </c>
      <c r="B8" s="14">
        <v>2</v>
      </c>
      <c r="C8" s="14">
        <v>1178</v>
      </c>
      <c r="D8" s="14" t="s">
        <v>11</v>
      </c>
      <c r="E8" s="14"/>
      <c r="F8" s="14">
        <v>244</v>
      </c>
      <c r="G8" s="14">
        <f t="shared" si="0"/>
        <v>20.713073005093381</v>
      </c>
      <c r="H8" s="14">
        <v>213</v>
      </c>
      <c r="I8" s="14">
        <v>28</v>
      </c>
      <c r="J8" s="14">
        <f t="shared" si="1"/>
        <v>7.6071428571428568</v>
      </c>
      <c r="K8" s="14">
        <f t="shared" si="2"/>
        <v>18.08149405772496</v>
      </c>
    </row>
    <row r="9" spans="1:11">
      <c r="A9" s="14">
        <v>16</v>
      </c>
      <c r="B9" s="14">
        <v>3</v>
      </c>
      <c r="C9" s="14">
        <v>1366</v>
      </c>
      <c r="D9" s="14" t="s">
        <v>11</v>
      </c>
      <c r="E9" s="14"/>
      <c r="F9" s="14">
        <v>304</v>
      </c>
      <c r="G9" s="14">
        <f t="shared" si="0"/>
        <v>22.254758418740849</v>
      </c>
      <c r="H9" s="14">
        <v>278</v>
      </c>
      <c r="I9" s="14">
        <v>38</v>
      </c>
      <c r="J9" s="14">
        <f t="shared" si="1"/>
        <v>7.3157894736842106</v>
      </c>
      <c r="K9" s="14">
        <f t="shared" si="2"/>
        <v>20.351390922401173</v>
      </c>
    </row>
    <row r="10" spans="1:11">
      <c r="A10" s="14">
        <v>16</v>
      </c>
      <c r="B10" s="14">
        <v>4</v>
      </c>
      <c r="C10" s="14">
        <v>835</v>
      </c>
      <c r="D10" s="14"/>
      <c r="E10" s="14"/>
      <c r="F10" s="14">
        <v>49</v>
      </c>
      <c r="G10" s="14">
        <f t="shared" si="0"/>
        <v>5.8682634730538927</v>
      </c>
      <c r="H10" s="14">
        <v>36</v>
      </c>
      <c r="I10" s="14">
        <v>11</v>
      </c>
      <c r="J10" s="14">
        <f t="shared" si="1"/>
        <v>3.2727272727272729</v>
      </c>
      <c r="K10" s="14">
        <f t="shared" si="2"/>
        <v>4.3113772455089823</v>
      </c>
    </row>
    <row r="11" spans="1:11">
      <c r="A11" s="15">
        <v>17</v>
      </c>
      <c r="B11" s="15">
        <v>1</v>
      </c>
      <c r="C11" s="15">
        <v>763</v>
      </c>
      <c r="D11" s="15"/>
      <c r="E11" s="15">
        <f>(C11+C13)/2</f>
        <v>1050</v>
      </c>
      <c r="F11" s="15">
        <v>170</v>
      </c>
      <c r="G11" s="15">
        <f t="shared" si="0"/>
        <v>22.280471821756226</v>
      </c>
      <c r="H11" s="15">
        <v>136</v>
      </c>
      <c r="I11" s="15">
        <v>16</v>
      </c>
      <c r="J11" s="15">
        <f t="shared" si="1"/>
        <v>8.5</v>
      </c>
      <c r="K11" s="15">
        <f t="shared" si="2"/>
        <v>17.824377457404982</v>
      </c>
    </row>
    <row r="12" spans="1:11">
      <c r="A12" s="15">
        <v>17</v>
      </c>
      <c r="B12" s="15">
        <v>2</v>
      </c>
      <c r="C12" s="15">
        <v>1177</v>
      </c>
      <c r="D12" s="15" t="s">
        <v>14</v>
      </c>
      <c r="E12" s="15"/>
      <c r="F12" s="15">
        <v>138</v>
      </c>
      <c r="G12" s="15">
        <f t="shared" si="0"/>
        <v>11.724723874256584</v>
      </c>
      <c r="H12" s="15">
        <v>99</v>
      </c>
      <c r="I12" s="15">
        <v>15</v>
      </c>
      <c r="J12" s="15">
        <f t="shared" si="1"/>
        <v>6.6</v>
      </c>
      <c r="K12" s="15">
        <f t="shared" si="2"/>
        <v>8.4112149532710276</v>
      </c>
    </row>
    <row r="13" spans="1:11">
      <c r="A13" s="15">
        <v>17</v>
      </c>
      <c r="B13" s="15">
        <v>3</v>
      </c>
      <c r="C13" s="15">
        <v>1337</v>
      </c>
      <c r="D13" s="15" t="s">
        <v>11</v>
      </c>
      <c r="E13" s="15"/>
      <c r="F13" s="15">
        <v>209</v>
      </c>
      <c r="G13" s="15">
        <f t="shared" si="0"/>
        <v>15.6320119670905</v>
      </c>
      <c r="H13" s="15">
        <v>166</v>
      </c>
      <c r="I13" s="15">
        <v>39</v>
      </c>
      <c r="J13" s="15">
        <f t="shared" si="1"/>
        <v>4.2564102564102564</v>
      </c>
      <c r="K13" s="15">
        <f t="shared" si="2"/>
        <v>12.415856394913986</v>
      </c>
    </row>
    <row r="14" spans="1:11">
      <c r="A14" s="15">
        <v>17</v>
      </c>
      <c r="B14" s="15">
        <v>4</v>
      </c>
      <c r="C14" s="15">
        <v>1225</v>
      </c>
      <c r="D14" s="15" t="s">
        <v>14</v>
      </c>
      <c r="E14" s="15"/>
      <c r="F14" s="15">
        <v>157</v>
      </c>
      <c r="G14" s="15">
        <f t="shared" si="0"/>
        <v>12.816326530612246</v>
      </c>
      <c r="H14" s="15">
        <v>100</v>
      </c>
      <c r="I14" s="15">
        <v>31</v>
      </c>
      <c r="J14" s="15">
        <f t="shared" si="1"/>
        <v>3.225806451612903</v>
      </c>
      <c r="K14" s="15">
        <f t="shared" si="2"/>
        <v>8.1632653061224492</v>
      </c>
    </row>
    <row r="15" spans="1:11">
      <c r="A15" s="16">
        <v>18</v>
      </c>
      <c r="B15" s="16">
        <v>1</v>
      </c>
      <c r="C15" s="16">
        <v>1449</v>
      </c>
      <c r="D15" s="16"/>
      <c r="E15" s="16">
        <f>AVERAGE(C15:C18)</f>
        <v>1269.25</v>
      </c>
      <c r="F15" s="16">
        <v>366</v>
      </c>
      <c r="G15" s="16">
        <f t="shared" si="0"/>
        <v>25.25879917184265</v>
      </c>
      <c r="H15" s="16">
        <v>340</v>
      </c>
      <c r="I15" s="16">
        <v>53</v>
      </c>
      <c r="J15" s="16">
        <f t="shared" si="1"/>
        <v>6.4150943396226419</v>
      </c>
      <c r="K15" s="16">
        <f t="shared" si="2"/>
        <v>23.464458247066943</v>
      </c>
    </row>
    <row r="16" spans="1:11">
      <c r="A16" s="16">
        <v>18</v>
      </c>
      <c r="B16" s="16">
        <v>2</v>
      </c>
      <c r="C16" s="16">
        <v>1072</v>
      </c>
      <c r="D16" s="16"/>
      <c r="E16" s="16"/>
      <c r="F16" s="16">
        <v>255</v>
      </c>
      <c r="G16" s="16">
        <f t="shared" si="0"/>
        <v>23.787313432835823</v>
      </c>
      <c r="H16" s="16">
        <v>231</v>
      </c>
      <c r="I16" s="16">
        <v>44</v>
      </c>
      <c r="J16" s="16">
        <f t="shared" si="1"/>
        <v>5.25</v>
      </c>
      <c r="K16" s="16">
        <f t="shared" si="2"/>
        <v>21.548507462686565</v>
      </c>
    </row>
    <row r="17" spans="1:11">
      <c r="A17" s="16">
        <v>18</v>
      </c>
      <c r="B17" s="16">
        <v>3</v>
      </c>
      <c r="C17" s="16">
        <v>1266</v>
      </c>
      <c r="D17" s="16"/>
      <c r="E17" s="16"/>
      <c r="F17" s="16">
        <v>295</v>
      </c>
      <c r="G17" s="16">
        <f t="shared" si="0"/>
        <v>23.301737756714061</v>
      </c>
      <c r="H17" s="16">
        <v>265</v>
      </c>
      <c r="I17" s="16">
        <v>52</v>
      </c>
      <c r="J17" s="16">
        <f t="shared" si="1"/>
        <v>5.0961538461538458</v>
      </c>
      <c r="K17" s="16">
        <f t="shared" si="2"/>
        <v>20.932069510268562</v>
      </c>
    </row>
    <row r="18" spans="1:11">
      <c r="A18" s="16">
        <v>18</v>
      </c>
      <c r="B18" s="16">
        <v>4</v>
      </c>
      <c r="C18" s="16">
        <v>1290</v>
      </c>
      <c r="D18" s="16"/>
      <c r="E18" s="16"/>
      <c r="F18" s="16">
        <v>234</v>
      </c>
      <c r="G18" s="16">
        <f t="shared" si="0"/>
        <v>18.13953488372093</v>
      </c>
      <c r="H18" s="16">
        <v>183</v>
      </c>
      <c r="I18" s="16">
        <v>31</v>
      </c>
      <c r="J18" s="16">
        <f t="shared" si="1"/>
        <v>5.903225806451613</v>
      </c>
      <c r="K18" s="16">
        <f t="shared" si="2"/>
        <v>14.186046511627906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"/>
  <sheetViews>
    <sheetView workbookViewId="0"/>
  </sheetViews>
  <sheetFormatPr defaultColWidth="12.6640625" defaultRowHeight="15.75" customHeight="1"/>
  <sheetData>
    <row r="1" spans="1:1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>
      <c r="A2" s="17">
        <v>19</v>
      </c>
      <c r="B2" s="17">
        <v>1</v>
      </c>
      <c r="C2" s="17">
        <v>617</v>
      </c>
      <c r="D2" s="17"/>
      <c r="E2" s="17"/>
      <c r="F2" s="17">
        <v>173</v>
      </c>
      <c r="G2" s="17">
        <f t="shared" ref="G2:G8" si="0">(F2/C2)*100</f>
        <v>28.038897893030796</v>
      </c>
      <c r="H2" s="17">
        <v>136</v>
      </c>
      <c r="I2" s="17">
        <v>31</v>
      </c>
      <c r="J2" s="17">
        <f t="shared" ref="J2:J8" si="1">H2/I2</f>
        <v>4.387096774193548</v>
      </c>
      <c r="K2" s="17">
        <f t="shared" ref="K2:K8" si="2">(H2/C2)*100</f>
        <v>22.042139384116695</v>
      </c>
    </row>
    <row r="3" spans="1:11">
      <c r="A3" s="17">
        <v>19</v>
      </c>
      <c r="B3" s="17">
        <v>2</v>
      </c>
      <c r="C3" s="17">
        <v>490</v>
      </c>
      <c r="D3" s="17"/>
      <c r="E3" s="17"/>
      <c r="F3" s="17">
        <v>128</v>
      </c>
      <c r="G3" s="17">
        <f t="shared" si="0"/>
        <v>26.122448979591837</v>
      </c>
      <c r="H3" s="17">
        <v>105</v>
      </c>
      <c r="I3" s="17">
        <v>26</v>
      </c>
      <c r="J3" s="17">
        <f t="shared" si="1"/>
        <v>4.0384615384615383</v>
      </c>
      <c r="K3" s="17">
        <f t="shared" si="2"/>
        <v>21.428571428571427</v>
      </c>
    </row>
    <row r="4" spans="1:11">
      <c r="A4" s="17">
        <v>19</v>
      </c>
      <c r="B4" s="17">
        <v>3</v>
      </c>
      <c r="C4" s="17">
        <v>645</v>
      </c>
      <c r="D4" s="17"/>
      <c r="E4" s="17"/>
      <c r="F4" s="17">
        <v>199</v>
      </c>
      <c r="G4" s="17">
        <f t="shared" si="0"/>
        <v>30.852713178294572</v>
      </c>
      <c r="H4" s="17">
        <v>176</v>
      </c>
      <c r="I4" s="17">
        <v>38</v>
      </c>
      <c r="J4" s="17">
        <f t="shared" si="1"/>
        <v>4.6315789473684212</v>
      </c>
      <c r="K4" s="17">
        <f t="shared" si="2"/>
        <v>27.286821705426355</v>
      </c>
    </row>
    <row r="5" spans="1:11">
      <c r="A5" s="18">
        <v>20</v>
      </c>
      <c r="B5" s="18">
        <v>1</v>
      </c>
      <c r="C5" s="18">
        <v>1015</v>
      </c>
      <c r="D5" s="18"/>
      <c r="E5" s="18"/>
      <c r="F5" s="18">
        <v>114</v>
      </c>
      <c r="G5" s="18">
        <f t="shared" si="0"/>
        <v>11.231527093596059</v>
      </c>
      <c r="H5" s="18">
        <v>62</v>
      </c>
      <c r="I5" s="18">
        <v>15</v>
      </c>
      <c r="J5" s="18">
        <f t="shared" si="1"/>
        <v>4.1333333333333337</v>
      </c>
      <c r="K5" s="18">
        <f t="shared" si="2"/>
        <v>6.1083743842364537</v>
      </c>
    </row>
    <row r="6" spans="1:11">
      <c r="A6" s="18">
        <v>20</v>
      </c>
      <c r="B6" s="18">
        <v>2</v>
      </c>
      <c r="C6" s="18">
        <v>611</v>
      </c>
      <c r="D6" s="18" t="s">
        <v>11</v>
      </c>
      <c r="E6" s="18"/>
      <c r="F6" s="18">
        <v>65</v>
      </c>
      <c r="G6" s="18">
        <f t="shared" si="0"/>
        <v>10.638297872340425</v>
      </c>
      <c r="H6" s="18">
        <v>21</v>
      </c>
      <c r="I6" s="18">
        <v>8</v>
      </c>
      <c r="J6" s="18">
        <f t="shared" si="1"/>
        <v>2.625</v>
      </c>
      <c r="K6" s="18">
        <f t="shared" si="2"/>
        <v>3.4369885433715219</v>
      </c>
    </row>
    <row r="7" spans="1:11">
      <c r="A7" s="18">
        <v>20</v>
      </c>
      <c r="B7" s="18">
        <v>3</v>
      </c>
      <c r="C7" s="18">
        <v>815</v>
      </c>
      <c r="D7" s="18"/>
      <c r="E7" s="18"/>
      <c r="F7" s="18">
        <v>98</v>
      </c>
      <c r="G7" s="18">
        <f t="shared" si="0"/>
        <v>12.024539877300613</v>
      </c>
      <c r="H7" s="18">
        <v>34</v>
      </c>
      <c r="I7" s="18">
        <v>11</v>
      </c>
      <c r="J7" s="18">
        <f t="shared" si="1"/>
        <v>3.0909090909090908</v>
      </c>
      <c r="K7" s="18">
        <f t="shared" si="2"/>
        <v>4.1717791411042944</v>
      </c>
    </row>
    <row r="8" spans="1:11">
      <c r="A8" s="18">
        <v>20</v>
      </c>
      <c r="B8" s="18">
        <v>4</v>
      </c>
      <c r="C8" s="18">
        <v>840</v>
      </c>
      <c r="D8" s="18"/>
      <c r="E8" s="18"/>
      <c r="F8" s="18">
        <v>85</v>
      </c>
      <c r="G8" s="18">
        <f t="shared" si="0"/>
        <v>10.119047619047619</v>
      </c>
      <c r="H8" s="18">
        <v>52</v>
      </c>
      <c r="I8" s="18">
        <v>16</v>
      </c>
      <c r="J8" s="18">
        <f t="shared" si="1"/>
        <v>3.25</v>
      </c>
      <c r="K8" s="18">
        <f t="shared" si="2"/>
        <v>6.1904761904761907</v>
      </c>
    </row>
    <row r="9" spans="1:11">
      <c r="A9" s="1"/>
      <c r="B9" s="1"/>
      <c r="C9" s="1"/>
      <c r="D9" s="1"/>
      <c r="F9" s="1"/>
      <c r="H9" s="1"/>
      <c r="I9" s="1"/>
    </row>
    <row r="10" spans="1:11">
      <c r="A10" s="1"/>
      <c r="B10" s="1"/>
      <c r="C10" s="1"/>
      <c r="D10" s="1"/>
      <c r="F10" s="1"/>
      <c r="H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7,8,9,10</vt:lpstr>
      <vt:lpstr>11,12,13,14</vt:lpstr>
      <vt:lpstr>15,16,17,18</vt:lpstr>
      <vt:lpstr>19,20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Stephania Karugu</cp:lastModifiedBy>
  <dcterms:modified xsi:type="dcterms:W3CDTF">2025-12-01T00:35:08Z</dcterms:modified>
</cp:coreProperties>
</file>